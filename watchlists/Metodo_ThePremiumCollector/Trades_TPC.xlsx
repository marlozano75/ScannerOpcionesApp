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Mi unidad\01_Personal\aaBolsa\Opciones TPC\"/>
    </mc:Choice>
  </mc:AlternateContent>
  <xr:revisionPtr revIDLastSave="0" documentId="13_ncr:1_{124231D7-EF94-46FF-AE98-FED798929592}" xr6:coauthVersionLast="47" xr6:coauthVersionMax="47" xr10:uidLastSave="{00000000-0000-0000-0000-000000000000}"/>
  <bookViews>
    <workbookView xWindow="-120" yWindow="-120" windowWidth="29040" windowHeight="15720" activeTab="1" xr2:uid="{7F8331F4-074B-4C40-988F-D3BD1F1EE25D}"/>
  </bookViews>
  <sheets>
    <sheet name="Diversificación" sheetId="3" r:id="rId1"/>
    <sheet name="Trades" sheetId="1" r:id="rId2"/>
  </sheets>
  <definedNames>
    <definedName name="_xlnm._FilterDatabase" localSheetId="1" hidden="1">Trades!$A$1:$R$383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0" i="1" l="1"/>
  <c r="R110" i="1"/>
  <c r="R109" i="1"/>
  <c r="R102" i="1"/>
  <c r="R101" i="1"/>
  <c r="R100" i="1"/>
  <c r="R98" i="1"/>
  <c r="R97" i="1"/>
  <c r="R96" i="1"/>
  <c r="R29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28" i="1"/>
  <c r="R129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99" i="1"/>
  <c r="R103" i="1"/>
  <c r="R104" i="1"/>
  <c r="R105" i="1"/>
  <c r="R106" i="1"/>
  <c r="R107" i="1"/>
  <c r="R108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19" i="1"/>
  <c r="R20" i="1"/>
  <c r="R21" i="1"/>
  <c r="R22" i="1"/>
  <c r="R23" i="1"/>
  <c r="R24" i="1"/>
  <c r="R25" i="1"/>
  <c r="R26" i="1"/>
  <c r="R27" i="1"/>
  <c r="R28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197" i="1"/>
  <c r="R204" i="1"/>
  <c r="R205" i="1"/>
  <c r="R206" i="1"/>
  <c r="R236" i="1"/>
  <c r="R237" i="1"/>
  <c r="R238" i="1"/>
  <c r="R261" i="1"/>
  <c r="R281" i="1"/>
  <c r="R282" i="1"/>
  <c r="R285" i="1"/>
  <c r="R286" i="1"/>
  <c r="R287" i="1"/>
  <c r="R288" i="1"/>
  <c r="R302" i="1"/>
  <c r="R303" i="1"/>
  <c r="R314" i="1"/>
  <c r="R319" i="1"/>
  <c r="R349" i="1"/>
  <c r="R350" i="1"/>
  <c r="R351" i="1"/>
  <c r="R352" i="1"/>
  <c r="R380" i="1"/>
  <c r="R257" i="1"/>
  <c r="R258" i="1"/>
  <c r="R259" i="1"/>
  <c r="R260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345" i="1"/>
  <c r="R346" i="1"/>
  <c r="R347" i="1"/>
  <c r="R348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191" i="1"/>
  <c r="R192" i="1"/>
  <c r="R193" i="1"/>
  <c r="R194" i="1"/>
  <c r="R195" i="1"/>
  <c r="R196" i="1"/>
  <c r="R198" i="1"/>
  <c r="R199" i="1"/>
  <c r="R200" i="1"/>
  <c r="R201" i="1"/>
  <c r="R202" i="1"/>
  <c r="R203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315" i="1"/>
  <c r="R316" i="1"/>
  <c r="R317" i="1"/>
  <c r="R318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01" i="1"/>
  <c r="R304" i="1"/>
  <c r="R305" i="1"/>
  <c r="R306" i="1"/>
  <c r="R307" i="1"/>
  <c r="R308" i="1"/>
  <c r="R309" i="1"/>
  <c r="R310" i="1"/>
  <c r="R311" i="1"/>
  <c r="R312" i="1"/>
  <c r="R313" i="1"/>
  <c r="R230" i="1"/>
  <c r="R231" i="1"/>
  <c r="R232" i="1"/>
  <c r="R233" i="1"/>
  <c r="R234" i="1"/>
  <c r="R235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78" i="1"/>
  <c r="R279" i="1"/>
  <c r="R280" i="1"/>
  <c r="R283" i="1"/>
  <c r="R284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79" i="1"/>
  <c r="R381" i="1"/>
  <c r="R382" i="1"/>
  <c r="R383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28" i="1"/>
  <c r="O129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99" i="1"/>
  <c r="O103" i="1"/>
  <c r="O104" i="1"/>
  <c r="O105" i="1"/>
  <c r="O106" i="1"/>
  <c r="O107" i="1"/>
  <c r="O108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19" i="1"/>
  <c r="O20" i="1"/>
  <c r="O21" i="1"/>
  <c r="O22" i="1"/>
  <c r="O23" i="1"/>
  <c r="O24" i="1"/>
  <c r="O25" i="1"/>
  <c r="O26" i="1"/>
  <c r="O27" i="1"/>
  <c r="O28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197" i="1"/>
  <c r="O204" i="1"/>
  <c r="O205" i="1"/>
  <c r="O206" i="1"/>
  <c r="O236" i="1"/>
  <c r="O237" i="1"/>
  <c r="O238" i="1"/>
  <c r="O261" i="1"/>
  <c r="O281" i="1"/>
  <c r="O282" i="1"/>
  <c r="O285" i="1"/>
  <c r="O286" i="1"/>
  <c r="O287" i="1"/>
  <c r="O288" i="1"/>
  <c r="O302" i="1"/>
  <c r="O303" i="1"/>
  <c r="O314" i="1"/>
  <c r="O319" i="1"/>
  <c r="O349" i="1"/>
  <c r="O350" i="1"/>
  <c r="O351" i="1"/>
  <c r="O352" i="1"/>
  <c r="O380" i="1"/>
  <c r="O257" i="1"/>
  <c r="O258" i="1"/>
  <c r="O259" i="1"/>
  <c r="O260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345" i="1"/>
  <c r="O346" i="1"/>
  <c r="O347" i="1"/>
  <c r="O348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191" i="1"/>
  <c r="O192" i="1"/>
  <c r="O193" i="1"/>
  <c r="O194" i="1"/>
  <c r="O195" i="1"/>
  <c r="O196" i="1"/>
  <c r="O198" i="1"/>
  <c r="O199" i="1"/>
  <c r="O200" i="1"/>
  <c r="O201" i="1"/>
  <c r="O202" i="1"/>
  <c r="O203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315" i="1"/>
  <c r="O316" i="1"/>
  <c r="O317" i="1"/>
  <c r="O318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01" i="1"/>
  <c r="O304" i="1"/>
  <c r="O305" i="1"/>
  <c r="O306" i="1"/>
  <c r="O307" i="1"/>
  <c r="O308" i="1"/>
  <c r="O309" i="1"/>
  <c r="O310" i="1"/>
  <c r="O311" i="1"/>
  <c r="O312" i="1"/>
  <c r="O313" i="1"/>
  <c r="O230" i="1"/>
  <c r="O231" i="1"/>
  <c r="O232" i="1"/>
  <c r="O233" i="1"/>
  <c r="O234" i="1"/>
  <c r="O235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78" i="1"/>
  <c r="O279" i="1"/>
  <c r="O280" i="1"/>
  <c r="O283" i="1"/>
  <c r="O284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79" i="1"/>
  <c r="O381" i="1"/>
  <c r="O382" i="1"/>
  <c r="O383" i="1"/>
  <c r="O29" i="1"/>
  <c r="O96" i="1"/>
  <c r="O97" i="1"/>
  <c r="O98" i="1"/>
  <c r="O100" i="1"/>
  <c r="O101" i="1"/>
  <c r="O102" i="1"/>
  <c r="O109" i="1"/>
  <c r="O110" i="1"/>
  <c r="O130" i="1"/>
  <c r="O2" i="1"/>
</calcChain>
</file>

<file path=xl/sharedStrings.xml><?xml version="1.0" encoding="utf-8"?>
<sst xmlns="http://schemas.openxmlformats.org/spreadsheetml/2006/main" count="1695" uniqueCount="115">
  <si>
    <t>Trade post</t>
  </si>
  <si>
    <t>Publication date</t>
  </si>
  <si>
    <t>Stock</t>
  </si>
  <si>
    <t>Instrument</t>
  </si>
  <si>
    <t>Action</t>
  </si>
  <si>
    <t>Expiration</t>
  </si>
  <si>
    <t>Strike</t>
  </si>
  <si>
    <t>Qty</t>
  </si>
  <si>
    <t>Price per share</t>
  </si>
  <si>
    <t>Fee / rebate</t>
  </si>
  <si>
    <t>Signed gross cash</t>
  </si>
  <si>
    <t>Net cash flow</t>
  </si>
  <si>
    <t>Result</t>
  </si>
  <si>
    <t>P/L</t>
  </si>
  <si>
    <t>Opening yield on strike</t>
  </si>
  <si>
    <t>Simple annualized yield</t>
  </si>
  <si>
    <t>DTE</t>
  </si>
  <si>
    <t>STRL</t>
  </si>
  <si>
    <t>Called away</t>
  </si>
  <si>
    <t>BLBD</t>
  </si>
  <si>
    <t>Sold shares</t>
  </si>
  <si>
    <t>Closed</t>
  </si>
  <si>
    <t>CPS</t>
  </si>
  <si>
    <t>MPAA</t>
  </si>
  <si>
    <t>Assigned in</t>
  </si>
  <si>
    <t>Assigned; closed</t>
  </si>
  <si>
    <t>PSIX</t>
  </si>
  <si>
    <t>CDE</t>
  </si>
  <si>
    <t>PGY</t>
  </si>
  <si>
    <t>UBER</t>
  </si>
  <si>
    <t>Put</t>
  </si>
  <si>
    <t>Sold</t>
  </si>
  <si>
    <t>Expired</t>
  </si>
  <si>
    <t>TSM</t>
  </si>
  <si>
    <t>ATGE</t>
  </si>
  <si>
    <t>LITE</t>
  </si>
  <si>
    <t>SSRM</t>
  </si>
  <si>
    <t>GFI</t>
  </si>
  <si>
    <t>CLS</t>
  </si>
  <si>
    <t>MU</t>
  </si>
  <si>
    <t>SBSW</t>
  </si>
  <si>
    <t>W</t>
  </si>
  <si>
    <t>TTMI</t>
  </si>
  <si>
    <t>Call</t>
  </si>
  <si>
    <t>Bought</t>
  </si>
  <si>
    <t>WLDN</t>
  </si>
  <si>
    <t>Assigned</t>
  </si>
  <si>
    <t>AU</t>
  </si>
  <si>
    <t>CCL</t>
  </si>
  <si>
    <t>INCY</t>
  </si>
  <si>
    <t>TPC</t>
  </si>
  <si>
    <t>K</t>
  </si>
  <si>
    <t>CRDO</t>
  </si>
  <si>
    <t>POWL</t>
  </si>
  <si>
    <t>WDC</t>
  </si>
  <si>
    <t>CDTX</t>
  </si>
  <si>
    <t>SKYW</t>
  </si>
  <si>
    <t>STEM</t>
  </si>
  <si>
    <t>SYF</t>
  </si>
  <si>
    <t>UPWK</t>
  </si>
  <si>
    <t>GRAL</t>
  </si>
  <si>
    <t>NGD</t>
  </si>
  <si>
    <t>FSLY</t>
  </si>
  <si>
    <t>DAR</t>
  </si>
  <si>
    <t>SOXL</t>
  </si>
  <si>
    <t>NBIS</t>
  </si>
  <si>
    <t>SEZL</t>
  </si>
  <si>
    <t>BTSG</t>
  </si>
  <si>
    <t>FLEX</t>
  </si>
  <si>
    <t>Open</t>
  </si>
  <si>
    <t>VICR</t>
  </si>
  <si>
    <t>ATI</t>
  </si>
  <si>
    <t>ENVA</t>
  </si>
  <si>
    <t>FN</t>
  </si>
  <si>
    <t>PBF</t>
  </si>
  <si>
    <t>GM</t>
  </si>
  <si>
    <t>FRO</t>
  </si>
  <si>
    <t>PSX</t>
  </si>
  <si>
    <t>ARW</t>
  </si>
  <si>
    <t>CNC</t>
  </si>
  <si>
    <t>OSCR</t>
  </si>
  <si>
    <t>BB</t>
  </si>
  <si>
    <t>COHR</t>
  </si>
  <si>
    <t>AMD</t>
  </si>
  <si>
    <t>CIEN</t>
  </si>
  <si>
    <t>DELL</t>
  </si>
  <si>
    <t>LASR</t>
  </si>
  <si>
    <t>PAAS</t>
  </si>
  <si>
    <t>HUT</t>
  </si>
  <si>
    <t>1,000.00</t>
  </si>
  <si>
    <t>PACS</t>
  </si>
  <si>
    <t>BAC</t>
  </si>
  <si>
    <t>ICHR</t>
  </si>
  <si>
    <t>XOM</t>
  </si>
  <si>
    <t>VLO</t>
  </si>
  <si>
    <t>−4</t>
  </si>
  <si>
    <t>Exposición Nominal</t>
  </si>
  <si>
    <t>Etiquetas de fila</t>
  </si>
  <si>
    <t>Total general</t>
  </si>
  <si>
    <t>2025</t>
  </si>
  <si>
    <t>2026</t>
  </si>
  <si>
    <t>ago</t>
  </si>
  <si>
    <t>sep</t>
  </si>
  <si>
    <t>jul</t>
  </si>
  <si>
    <t>Suma de Exposición Nominal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</si>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</sst>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A]d\-mmm;@"/>
    <numFmt numFmtId="165" formatCode="_-[$$-409]* #,##0.00_ ;_-[$$-409]* \-#,##0.00\ ;_-[$$-409]* &quot;-&quot;??_ ;_-@_ "/>
    <numFmt numFmtId="166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ECECE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2" fillId="0" borderId="1" xfId="0" applyNumberFormat="1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0" fontId="4" fillId="0" borderId="0" xfId="1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3"/>
    </xf>
    <xf numFmtId="14" fontId="0" fillId="0" borderId="0" xfId="0" applyNumberFormat="1" applyAlignment="1">
      <alignment horizontal="left" indent="2"/>
    </xf>
  </cellXfs>
  <cellStyles count="2">
    <cellStyle name="Normal" xfId="0" builtinId="0"/>
    <cellStyle name="Porcentaje" xfId="1" builtinId="5"/>
  </cellStyles>
  <dxfs count="1">
    <dxf>
      <numFmt numFmtId="166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Angel Ruiz Lozano" refreshedDate="46287.53075150463" createdVersion="8" refreshedVersion="8" minRefreshableVersion="3" recordCount="382" xr:uid="{67134968-4C95-4425-B30D-B570EB4C3E3E}">
  <cacheSource type="worksheet">
    <worksheetSource ref="A1:R383" sheet="Trades"/>
  </cacheSource>
  <cacheFields count="24">
    <cacheField name="Trade post" numFmtId="0">
      <sharedItems containsString="0" containsBlank="1" containsNumber="1" containsInteger="1" minValue="1" maxValue="61"/>
    </cacheField>
    <cacheField name="Publication date" numFmtId="0">
      <sharedItems containsSemiMixedTypes="0" containsNonDate="0" containsDate="1" containsString="0" minDate="2025-08-19T00:00:00" maxDate="2026-09-19T00:00:00" count="75">
        <d v="2025-09-19T00:00:00"/>
        <d v="2025-10-21T00:00:00"/>
        <d v="2025-11-17T00:00:00"/>
        <d v="2025-11-20T00:00:00"/>
        <d v="2025-11-21T00:00:00"/>
        <d v="2025-12-19T00:00:00"/>
        <d v="2025-08-19T00:00:00"/>
        <d v="2025-08-29T00:00:00"/>
        <d v="2025-12-10T00:00:00"/>
        <d v="2025-12-22T00:00:00"/>
        <d v="2025-11-03T00:00:00"/>
        <d v="2025-11-24T00:00:00"/>
        <d v="2025-10-16T00:00:00"/>
        <d v="2025-10-17T00:00:00"/>
        <d v="2025-10-20T00:00:00"/>
        <d v="2025-09-03T00:00:00"/>
        <d v="2025-09-08T00:00:00"/>
        <d v="2025-09-11T00:00:00"/>
        <d v="2025-09-15T00:00:00"/>
        <d v="2025-09-22T00:00:00"/>
        <d v="2025-09-29T00:00:00"/>
        <d v="2026-02-12T00:00:00"/>
        <d v="2026-02-20T00:00:00"/>
        <d v="2026-03-18T00:00:00"/>
        <d v="2026-03-19T00:00:00"/>
        <d v="2026-03-20T00:00:00"/>
        <d v="2026-04-17T00:00:00"/>
        <d v="2026-05-11T00:00:00"/>
        <d v="2026-05-12T00:00:00"/>
        <d v="2026-05-15T00:00:00"/>
        <d v="2026-06-18T00:00:00"/>
        <d v="2026-07-02T00:00:00"/>
        <d v="2026-07-17T00:00:00"/>
        <d v="2026-08-20T00:00:00"/>
        <d v="2026-08-21T00:00:00"/>
        <d v="2026-09-14T00:00:00"/>
        <d v="2026-04-10T00:00:00"/>
        <d v="2026-04-14T00:00:00"/>
        <d v="2026-04-20T00:00:00"/>
        <d v="2026-04-21T00:00:00"/>
        <d v="2026-04-28T00:00:00"/>
        <d v="2026-04-30T00:00:00"/>
        <d v="2026-08-06T00:00:00"/>
        <d v="2026-08-18T00:00:00"/>
        <d v="2026-08-24T00:00:00"/>
        <d v="2026-02-02T00:00:00"/>
        <d v="2026-02-04T00:00:00"/>
        <d v="2026-02-10T00:00:00"/>
        <d v="2026-02-13T00:00:00"/>
        <d v="2026-02-17T00:00:00"/>
        <d v="2026-02-18T00:00:00"/>
        <d v="2026-02-23T00:00:00"/>
        <d v="2026-02-27T00:00:00"/>
        <d v="2026-01-06T00:00:00"/>
        <d v="2026-01-16T00:00:00"/>
        <d v="2026-01-19T00:00:00"/>
        <d v="2026-01-20T00:00:00"/>
        <d v="2026-01-26T00:00:00"/>
        <d v="2026-01-27T00:00:00"/>
        <d v="2026-07-15T00:00:00"/>
        <d v="2026-07-20T00:00:00"/>
        <d v="2026-07-21T00:00:00"/>
        <d v="2026-06-02T00:00:00"/>
        <d v="2026-06-22T00:00:00"/>
        <d v="2026-06-25T00:00:00"/>
        <d v="2026-06-29T00:00:00"/>
        <d v="2026-03-16T00:00:00"/>
        <d v="2026-03-23T00:00:00"/>
        <d v="2026-05-05T00:00:00"/>
        <d v="2026-05-08T00:00:00"/>
        <d v="2026-05-14T00:00:00"/>
        <d v="2026-05-18T00:00:00"/>
        <d v="2026-05-26T00:00:00"/>
        <d v="2026-09-08T00:00:00"/>
        <d v="2026-09-18T00:00:00"/>
      </sharedItems>
      <fieldGroup par="20"/>
    </cacheField>
    <cacheField name="Stock" numFmtId="0">
      <sharedItems count="65">
        <s v="STRL"/>
        <s v="BLBD"/>
        <s v="CPS"/>
        <s v="MPAA"/>
        <s v="PSIX"/>
        <s v="CDE"/>
        <s v="PGY"/>
        <s v="UBER"/>
        <s v="TSM"/>
        <s v="ATGE"/>
        <s v="LITE"/>
        <s v="SSRM"/>
        <s v="GFI"/>
        <s v="CLS"/>
        <s v="MU"/>
        <s v="SBSW"/>
        <s v="W"/>
        <s v="TTMI"/>
        <s v="WLDN"/>
        <s v="AU"/>
        <s v="CCL"/>
        <s v="INCY"/>
        <s v="TPC"/>
        <s v="K"/>
        <s v="CRDO"/>
        <s v="POWL"/>
        <s v="WDC"/>
        <s v="CDTX"/>
        <s v="SKYW"/>
        <s v="STEM"/>
        <s v="SYF"/>
        <s v="UPWK"/>
        <s v="GRAL"/>
        <s v="NGD"/>
        <s v="FSLY"/>
        <s v="DAR"/>
        <s v="SOXL"/>
        <s v="NBIS"/>
        <s v="SEZL"/>
        <s v="BTSG"/>
        <s v="FLEX"/>
        <s v="VICR"/>
        <s v="ATI"/>
        <s v="ENVA"/>
        <s v="FN"/>
        <s v="PBF"/>
        <s v="GM"/>
        <s v="FRO"/>
        <s v="PSX"/>
        <s v="ARW"/>
        <s v="CNC"/>
        <s v="OSCR"/>
        <s v="BB"/>
        <s v="COHR"/>
        <s v="AMD"/>
        <s v="CIEN"/>
        <s v="DELL"/>
        <s v="LASR"/>
        <s v="PAAS"/>
        <s v="HUT"/>
        <s v="PACS"/>
        <s v="BAC"/>
        <s v="ICHR"/>
        <s v="XOM"/>
        <s v="VLO"/>
      </sharedItems>
    </cacheField>
    <cacheField name="Instrument" numFmtId="0">
      <sharedItems/>
    </cacheField>
    <cacheField name="Action" numFmtId="0">
      <sharedItems/>
    </cacheField>
    <cacheField name="Expiration" numFmtId="0">
      <sharedItems containsNonDate="0" containsDate="1" containsString="0" containsBlank="1" minDate="2025-09-05T00:00:00" maxDate="2026-11-21T00:00:00" count="21">
        <m/>
        <d v="2025-09-19T00:00:00"/>
        <d v="2025-09-05T00:00:00"/>
        <d v="2025-12-19T00:00:00"/>
        <d v="2026-01-16T00:00:00"/>
        <d v="2026-03-20T00:00:00"/>
        <d v="2025-11-21T00:00:00"/>
        <d v="2026-02-20T00:00:00"/>
        <d v="2025-09-12T00:00:00"/>
        <d v="2025-10-17T00:00:00"/>
        <d v="2025-09-26T00:00:00"/>
        <d v="2026-07-17T00:00:00"/>
        <d v="2026-09-18T00:00:00"/>
        <d v="2026-04-17T00:00:00"/>
        <d v="2026-05-15T00:00:00"/>
        <d v="2026-08-21T00:00:00"/>
        <d v="2026-01-23T00:00:00"/>
        <d v="2026-06-18T00:00:00"/>
        <d v="2026-06-26T00:00:00"/>
        <d v="2026-05-22T00:00:00"/>
        <d v="2026-11-20T00:00:00"/>
      </sharedItems>
      <fieldGroup par="23"/>
    </cacheField>
    <cacheField name="Strike" numFmtId="0">
      <sharedItems containsString="0" containsBlank="1" containsNumber="1" minValue="1" maxValue="760"/>
    </cacheField>
    <cacheField name="Qty" numFmtId="0">
      <sharedItems containsSemiMixedTypes="0" containsString="0" containsNumber="1" minValue="1" maxValue="600"/>
    </cacheField>
    <cacheField name="Price per share" numFmtId="0">
      <sharedItems containsMixedTypes="1" containsNumber="1" containsInteger="1" minValue="0" maxValue="395"/>
    </cacheField>
    <cacheField name="Fee / rebate" numFmtId="165">
      <sharedItems containsString="0" containsBlank="1" containsNumber="1" minValue="-2.09" maxValue="7"/>
    </cacheField>
    <cacheField name="Signed gross cash" numFmtId="165">
      <sharedItems containsString="0" containsBlank="1" containsNumber="1" minValue="-100000" maxValue="29000"/>
    </cacheField>
    <cacheField name="Net cash flow" numFmtId="165">
      <sharedItems containsSemiMixedTypes="0" containsString="0" containsNumber="1" minValue="-100000" maxValue="28999.98"/>
    </cacheField>
    <cacheField name="Result" numFmtId="0">
      <sharedItems/>
    </cacheField>
    <cacheField name="P/L" numFmtId="165">
      <sharedItems containsString="0" containsBlank="1" containsNumber="1" minValue="-808.8" maxValue="5451"/>
    </cacheField>
    <cacheField name="Opening yield on strike" numFmtId="10">
      <sharedItems containsMixedTypes="1" containsNumber="1" minValue="-2.6959999999999998E-2" maxValue="54.508400000000002" count="303">
        <s v=""/>
        <n v="1.1313565891472867E-2"/>
        <n v="9.9380733944954124E-3"/>
        <n v="9.9059633027522923E-3"/>
        <n v="1.0164583333333333E-2"/>
        <n v="7.6217391304347834E-3"/>
        <n v="7.5608695652173916E-3"/>
        <n v="1.3331632653061224E-2"/>
        <n v="1.3260204081632651E-2"/>
        <n v="1.6866666666666669E-2"/>
        <n v="1.6863333333333334E-2"/>
        <n v="2.2574074074074076E-2"/>
        <n v="2.2833333333333334E-2"/>
        <n v="3.4761538461538462E-2"/>
        <n v="3.486923076923077E-2"/>
        <n v="1.7717616580310881E-2"/>
        <n v="3.2293529411764707E-2"/>
        <n v="4.3019591836734691E-2"/>
        <n v="1.9488461538461538E-2"/>
        <n v="1.8717948717948719E-2"/>
        <n v="1.9484615384615385E-2"/>
        <n v="2.3418709677419356E-2"/>
        <n v="6.8932000000000004E-3"/>
        <n v="6.9591999999999996E-3"/>
        <n v="6.9472000000000006E-3"/>
        <n v="2.0305454545454547E-2"/>
        <n v="2.0178181818181817E-2"/>
        <n v="1.4042696629213484E-2"/>
        <n v="1.4121348314606742E-2"/>
        <n v="1.7663333333333333E-2"/>
        <n v="1.7780000000000001E-2"/>
        <n v="1.4166666666666666E-2"/>
        <n v="1.3346122448979593E-2"/>
        <n v="1.3374693877551021E-2"/>
        <n v="1.4222222222222223E-2"/>
        <n v="1.4888888888888889E-2"/>
        <n v="4.1244666666666666E-2"/>
        <n v="-2.1480555555555555E-2"/>
        <n v="5.1553333333333333E-2"/>
        <n v="8.9324444444444442E-3"/>
        <n v="8.9635555555555562E-3"/>
        <n v="4.2700000000000002E-2"/>
        <n v="2.2614285714285715E-2"/>
        <n v="2.0916666666666667E-2"/>
        <n v="2.0166666666666666E-2"/>
        <n v="2.0722222222222222E-2"/>
        <n v="2.052777777777778E-2"/>
        <n v="3.5916666666666673E-2"/>
        <n v="4.1019230769230773E-2"/>
        <n v="4.0750000000000001E-2"/>
        <n v="1.4185714285714284E-2"/>
        <n v="1.3498214285714285E-2"/>
        <n v="1.1869565217391305E-2"/>
        <n v="2.6481818181818183E-2"/>
        <n v="2.6354545454545453E-2"/>
        <n v="1.3102272727272726E-2"/>
        <n v="2.5854901960784313E-2"/>
        <n v="1.9055555555555555E-2"/>
        <n v="1.8500000000000003E-2"/>
        <n v="2.3549180327868853E-2"/>
        <n v="2.358743169398907E-2"/>
        <n v="6.7564285714285716E-2"/>
        <n v="6.7699999999999996E-2"/>
        <n v="5.8319444444444445E-2"/>
        <n v="1.4367241379310345E-2"/>
        <n v="1.4343103448275862E-2"/>
        <n v="2.39125E-2"/>
        <n v="2.3743749999999997E-2"/>
        <n v="2.3956250000000002E-2"/>
        <n v="5.0431818181818182E-2"/>
        <n v="5.0750000000000003E-2"/>
        <n v="4.2789999999999995E-2"/>
        <n v="4.3295E-2"/>
        <n v="3.1209090909090909E-2"/>
        <n v="3.0963636363636367E-2"/>
        <n v="3.1081818181818179E-2"/>
        <n v="4.2900000000000001E-2"/>
        <n v="1.2120430107526881E-2"/>
        <n v="1.0113461538461538E-2"/>
        <n v="1.0140384615384615E-2"/>
        <n v="3.054318181818182E-2"/>
        <n v="3.0574999999999998E-2"/>
        <n v="4.7582677165354324E-2"/>
        <n v="4.0722222222222222E-2"/>
        <n v="2.8650000000000002E-2"/>
        <n v="3.0707650273224047E-2"/>
        <n v="3.0745901639344261E-2"/>
        <n v="4.4205882352941178E-2"/>
        <n v="4.4308823529411769E-2"/>
        <n v="4.4102941176470588E-2"/>
        <n v="1.0295744680851064E-2"/>
        <n v="4.1311111111111114E-3"/>
        <n v="1.8655714285714286E-2"/>
        <n v="1.2072222222222222E-2"/>
        <n v="1.3581250000000001E-2"/>
        <n v="1.2243750000000001E-2"/>
        <n v="1.5747916666666667E-2"/>
        <n v="2.4979611650485439E-2"/>
        <n v="2.4945631067961164E-2"/>
        <n v="2.5013592233009706E-2"/>
        <n v="1.5904651162790696E-2"/>
        <n v="1.6533928571428571E-2"/>
        <n v="1.6535714285714286E-2"/>
        <n v="1.9766666666666665E-2"/>
        <n v="1.9300000000000001E-2"/>
        <n v="4.6608333333333328E-2"/>
        <n v="4.6491666666666667E-2"/>
        <n v="1.2871190476190477E-2"/>
        <n v="2.5227142857142858E-2"/>
        <n v="2.5514285714285715E-2"/>
        <n v="2.280263157894737E-2"/>
        <n v="2.270921052631579E-2"/>
        <n v="2.2618421052631579E-2"/>
        <n v="1.244074074074074E-2"/>
        <n v="3.3597222222222223E-2"/>
        <n v="3.3791666666666671E-2"/>
        <n v="1.5868750000000001E-2"/>
        <n v="1.5956250000000002E-2"/>
        <n v="8.3875000000000009E-3"/>
        <n v="1.441578947368421E-2"/>
        <n v="7.2387500000000007E-2"/>
        <n v="1.0198333333333334E-2"/>
        <n v="1.4564285714285715E-2"/>
        <n v="1.4664285714285715E-2"/>
        <n v="1.2675257731958763E-2"/>
        <n v="1.2747422680412372E-2"/>
        <n v="1.0466981132075472E-2"/>
        <n v="2.073157894736842E-2"/>
        <n v="2.0805263157894736E-2"/>
        <n v="1.1429194630872483E-2"/>
        <n v="0.10087297297297297"/>
        <n v="1.3696999999999999E-2"/>
        <n v="8.8663636363636358E-3"/>
        <n v="4.0187096774193546E-3"/>
        <n v="4.0834408602150535E-3"/>
        <n v="9.6380769230769228E-3"/>
        <n v="2.4526792452830189E-2"/>
        <n v="2.1841562499999998E-2"/>
        <n v="2.379173076923077E-2"/>
        <n v="2.1399473684210524E-2"/>
        <n v="3.9674507042253518E-2"/>
        <n v="1.7430810810810812E-2"/>
        <n v="1.7449729729729729E-2"/>
        <n v="5.4882222222222221E-2"/>
        <n v="5.4939999999999996E-2"/>
        <n v="3.4259999999999999E-2"/>
        <n v="3.524E-2"/>
        <n v="2.6961379310344827E-2"/>
        <n v="2.7009655172413792E-2"/>
        <n v="1.8960000000000001E-2"/>
        <n v="9.2443478260869575E-3"/>
        <n v="6.6160714285714286E-3"/>
        <n v="2.6293333333333332E-2"/>
        <n v="1.5080657894736843E-2"/>
        <n v="9.0387499999999999E-3"/>
        <n v="2.2130769230769232E-2"/>
        <n v="8.9227272727272731E-3"/>
        <n v="1.8561538461538463E-2"/>
        <n v="1.8597435897435895E-2"/>
        <n v="1.1717241379310343E-2"/>
        <n v="1.1837931034482758E-2"/>
        <n v="9.2249999999999988E-3"/>
        <n v="9.256818181818182E-3"/>
        <n v="1.3718333333333334E-2"/>
        <n v="1.5112499999999999E-2"/>
        <n v="6.4625000000000004E-3"/>
        <n v="6.4650000000000003E-3"/>
        <n v="4.788421052631579E-3"/>
        <n v="25.289099999999998"/>
        <n v="5.4663999999999997E-2"/>
        <n v="3.4991666666666664E-2"/>
        <n v="3.4941666666666669E-2"/>
        <n v="3.1591739130434782E-2"/>
        <n v="2.1564705882352944E-2"/>
        <n v="2.1946052631578949E-2"/>
        <n v="-6.02E-4"/>
        <n v="-5.7399999999999997E-4"/>
        <n v="2.147777777777778E-2"/>
        <n v="2.1253636363636363E-2"/>
        <n v="-6.5921052631578948E-4"/>
        <n v="7.3407894736842103E-3"/>
        <n v="-1.7413793103448276E-4"/>
        <n v="-1.396551724137931E-4"/>
        <n v="1.5811111111111113E-2"/>
        <n v="1.6015789473684212E-2"/>
        <n v="8.876129032258066E-3"/>
        <n v="2.5032777777777775E-2"/>
        <n v="2.7518000000000001E-2"/>
        <n v="1.6094999999999998E-2"/>
        <n v="1.6165000000000002E-2"/>
        <n v="1.4780434782608695E-2"/>
        <n v="1.4810869565217391E-2"/>
        <n v="2.22375E-2"/>
        <n v="2.2475000000000002E-2"/>
        <n v="2.265E-2"/>
        <n v="3.1400000000000004E-2"/>
        <n v="2.4324999999999999E-2"/>
        <n v="2.3074999999999998E-2"/>
        <n v="2.1297999999999997E-2"/>
        <n v="3.3293137254901961E-2"/>
        <n v="1.6150000000000001E-2"/>
        <n v="1.6171212121212121E-2"/>
        <n v="2.4955555555555554E-2"/>
        <n v="-1.405E-3"/>
        <n v="1.2531111111111111E-2"/>
        <n v="1.2562222222222221E-2"/>
        <n v="1.3832369942196533E-2"/>
        <n v="1.3774566473988441E-2"/>
        <n v="6.9748717948717948E-3"/>
        <n v="7.010769230769231E-3"/>
        <n v="6.9928205128205138E-3"/>
        <n v="-2.6959999999999998E-2"/>
        <n v="1.2477407407407408E-2"/>
        <n v="2.9537500000000001E-2"/>
        <n v="2.9662500000000001E-2"/>
        <n v="4.3798000000000004E-2"/>
        <n v="4.3826000000000004E-2"/>
        <n v="1.1981578947368421E-2"/>
        <n v="3.4728709677419353E-2"/>
        <n v="2.0288148148148145E-2"/>
        <n v="3.0108333333333334E-2"/>
        <n v="3.0191666666666669E-2"/>
        <n v="2.4984709480122322E-4"/>
        <n v="4.9637500000000001E-2"/>
        <n v="1.4743617021276596E-2"/>
        <n v="1.2504285714285713E-2"/>
        <n v="2.0926190476190477E-2"/>
        <n v="2.1640476190476189E-2"/>
        <n v="1.0412068965517241E-2"/>
        <n v="1.0436206896551723E-2"/>
        <n v="1.5647192982456141E-2"/>
        <n v="3.6233333333333333E-2"/>
        <n v="3.5294444444444441E-2"/>
        <n v="4.1973000000000003E-2"/>
        <n v="42.167029702970297"/>
        <n v="2.2354021739130436E-2"/>
        <n v="2.0784615384615384E-2"/>
        <n v="2.6939130434782608E-2"/>
        <n v="2.7243478260869564E-2"/>
        <n v="4.6240000000000003E-2"/>
        <n v="4.6414999999999998E-2"/>
        <n v="7.1859649122807019E-3"/>
        <n v="7.3087719298245606E-3"/>
        <n v="1.7384166666666669E-2"/>
        <n v="3.3691818181818184E-2"/>
        <n v="2.4230508474576272E-2"/>
        <n v="2.4349152542372882E-2"/>
        <n v="2.9464000000000001E-2"/>
        <n v="2.8609629629629631E-2"/>
        <n v="6.3298000000000007E-2"/>
        <n v="8.683211678832117E-3"/>
        <n v="8.7343065693430647E-3"/>
        <n v="1.4429729729729729E-2"/>
        <n v="1.4467567567567566E-2"/>
        <n v="1.9567848101265821E-2"/>
        <n v="1.3733684210526316E-2"/>
        <n v="1.3678947368421051E-2"/>
        <n v="1.1079066666666667E-2"/>
        <n v="54.508400000000002"/>
        <n v="4.3247750000000001E-2"/>
        <n v="1.3687692307692307E-2"/>
        <n v="1.3741538461538461E-2"/>
        <n v="1.87575E-2"/>
        <n v="1.6296000000000001E-2"/>
        <n v="2.0260307692307692E-2"/>
        <n v="1.1195E-2"/>
        <n v="1.1265000000000001E-2"/>
        <n v="-9.0645161290322585E-4"/>
        <n v="-8.6129032258064515E-4"/>
        <n v="4.6287671232876706E-3"/>
        <n v="-1.4454545454545456E-3"/>
        <n v="1.3780434782608696E-2"/>
        <n v="1.381086956521739E-2"/>
        <n v="1.3288095238095239E-2"/>
        <n v="1.8858823529411765E-2"/>
        <n v="1.0281818181818182E-2"/>
        <n v="2.2279824561403511E-2"/>
        <n v="1.7811111111111111E-2"/>
        <n v="2.4658333333333331E-2"/>
        <n v="2.4775000000000002E-2"/>
        <n v="5.2149285714285717E-2"/>
        <n v="5.1649E-2"/>
        <n v="2.7052941176470589E-2"/>
        <n v="2.713529411764706E-2"/>
        <n v="8.2764999999999991E-2"/>
        <n v="3.3107777777777778E-2"/>
        <n v="8.4333333333333343E-3"/>
        <n v="3.7646666666666669E-2"/>
        <n v="5.8111627906976739E-3"/>
        <n v="5.8437209302325578E-3"/>
        <n v="1.7032592592592592E-2"/>
        <n v="1.7084444444444444E-2"/>
        <n v="1.7996923076923077E-2"/>
        <n v="1.8032820512820513E-2"/>
        <n v="1.7660546875000002E-2"/>
        <n v="6.666222222222222E-2"/>
        <n v="2.7650000000000001E-2"/>
        <n v="3.6777046979865773E-2"/>
        <n v="3.6786442953020138E-2"/>
        <n v="0"/>
        <n v="1.0537857142857142E-2"/>
        <n v="1.4029545454545454E-2"/>
        <n v="1.4179545454545453E-2"/>
      </sharedItems>
    </cacheField>
    <cacheField name="Simple annualized yield" numFmtId="0">
      <sharedItems containsString="0" containsBlank="1" containsNumber="1" containsInteger="1" minValue="3" maxValue="303"/>
    </cacheField>
    <cacheField name="DTE" numFmtId="0">
      <sharedItems containsBlank="1" containsMixedTypes="1" containsNumber="1" containsInteger="1" minValue="0" maxValue="127" count="30">
        <m/>
        <n v="31"/>
        <n v="7"/>
        <n v="9"/>
        <n v="25"/>
        <n v="88"/>
        <n v="18"/>
        <n v="29"/>
        <n v="36"/>
        <n v="32"/>
        <n v="16"/>
        <n v="4"/>
        <n v="8"/>
        <n v="15"/>
        <n v="3"/>
        <n v="24"/>
        <n v="17"/>
        <n v="28"/>
        <n v="10"/>
        <n v="2"/>
        <n v="21"/>
        <n v="0"/>
        <n v="37"/>
        <n v="35"/>
        <n v="22"/>
        <n v="127"/>
        <n v="123"/>
        <n v="23"/>
        <s v="−4"/>
        <n v="63"/>
      </sharedItems>
    </cacheField>
    <cacheField name="Exposición Nominal" numFmtId="0">
      <sharedItems containsSemiMixedTypes="0" containsString="0" containsNumber="1" containsInteger="1" minValue="0" maxValue="128000"/>
    </cacheField>
    <cacheField name="Meses (Publication date)" numFmtId="0" databaseField="0">
      <fieldGroup base="1">
        <rangePr groupBy="months" startDate="2025-08-19T00:00:00" endDate="2026-09-19T00:00:00"/>
        <groupItems count="14">
          <s v="&lt;19/08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9/09/2026"/>
        </groupItems>
      </fieldGroup>
    </cacheField>
    <cacheField name="Trimestres (Publication date)" numFmtId="0" databaseField="0">
      <fieldGroup base="1">
        <rangePr groupBy="quarters" startDate="2025-08-19T00:00:00" endDate="2026-09-19T00:00:00"/>
        <groupItems count="6">
          <s v="&lt;19/08/2025"/>
          <s v="Trim.1"/>
          <s v="Trim.2"/>
          <s v="Trim.3"/>
          <s v="Trim.4"/>
          <s v="&gt;19/09/2026"/>
        </groupItems>
      </fieldGroup>
    </cacheField>
    <cacheField name="Años (Publication date)" numFmtId="0" databaseField="0">
      <fieldGroup base="1">
        <rangePr groupBy="years" startDate="2025-08-19T00:00:00" endDate="2026-09-19T00:00:00"/>
        <groupItems count="4">
          <s v="&lt;19/08/2025"/>
          <s v="2025"/>
          <s v="2026"/>
          <s v="&gt;19/09/2026"/>
        </groupItems>
      </fieldGroup>
    </cacheField>
    <cacheField name="Meses (Expiration)" numFmtId="0" databaseField="0">
      <fieldGroup base="5">
        <rangePr groupBy="months" startDate="2025-09-05T00:00:00" endDate="2026-11-21T00:00:00"/>
        <groupItems count="14">
          <s v="&lt;05/09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11/2026"/>
        </groupItems>
      </fieldGroup>
    </cacheField>
    <cacheField name="Trimestres (Expiration)" numFmtId="0" databaseField="0">
      <fieldGroup base="5">
        <rangePr groupBy="quarters" startDate="2025-09-05T00:00:00" endDate="2026-11-21T00:00:00"/>
        <groupItems count="6">
          <s v="&lt;05/09/2025"/>
          <s v="Trim.1"/>
          <s v="Trim.2"/>
          <s v="Trim.3"/>
          <s v="Trim.4"/>
          <s v="&gt;21/11/2026"/>
        </groupItems>
      </fieldGroup>
    </cacheField>
    <cacheField name="Años (Expiration)" numFmtId="0" databaseField="0">
      <fieldGroup base="5">
        <rangePr groupBy="years" startDate="2025-09-05T00:00:00" endDate="2026-11-21T00:00:00"/>
        <groupItems count="4">
          <s v="&lt;05/09/2025"/>
          <s v="2025"/>
          <s v="2026"/>
          <s v="&gt;21/1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">
  <r>
    <m/>
    <x v="0"/>
    <x v="0"/>
    <s v="Stock"/>
    <s v="Called away"/>
    <x v="0"/>
    <m/>
    <n v="100"/>
    <n v="290"/>
    <n v="0"/>
    <n v="29000"/>
    <n v="28999.98"/>
    <s v="Called away"/>
    <m/>
    <x v="0"/>
    <m/>
    <x v="0"/>
    <n v="0"/>
  </r>
  <r>
    <m/>
    <x v="1"/>
    <x v="1"/>
    <s v="Stock"/>
    <s v="Sold shares"/>
    <x v="0"/>
    <m/>
    <n v="200"/>
    <n v="55"/>
    <n v="1"/>
    <n v="10942"/>
    <n v="10940.96"/>
    <s v="Closed"/>
    <m/>
    <x v="0"/>
    <m/>
    <x v="0"/>
    <n v="0"/>
  </r>
  <r>
    <m/>
    <x v="1"/>
    <x v="2"/>
    <s v="Stock"/>
    <s v="Sold shares"/>
    <x v="0"/>
    <m/>
    <n v="60"/>
    <n v="36"/>
    <n v="0"/>
    <n v="2140.1999999999998"/>
    <n v="2139.89"/>
    <s v="Closed"/>
    <m/>
    <x v="0"/>
    <m/>
    <x v="0"/>
    <n v="0"/>
  </r>
  <r>
    <m/>
    <x v="1"/>
    <x v="2"/>
    <s v="Stock"/>
    <s v="Sold shares"/>
    <x v="0"/>
    <m/>
    <n v="240"/>
    <n v="36"/>
    <n v="1"/>
    <n v="8560.7999999999993"/>
    <n v="8559.5499999999993"/>
    <s v="Closed"/>
    <m/>
    <x v="0"/>
    <m/>
    <x v="0"/>
    <n v="0"/>
  </r>
  <r>
    <m/>
    <x v="2"/>
    <x v="3"/>
    <s v="Stock"/>
    <s v="Assigned in"/>
    <x v="0"/>
    <m/>
    <n v="100"/>
    <n v="15"/>
    <n v="0"/>
    <n v="-1500"/>
    <n v="-1500"/>
    <s v="Assigned; closed"/>
    <m/>
    <x v="0"/>
    <m/>
    <x v="0"/>
    <n v="0"/>
  </r>
  <r>
    <m/>
    <x v="3"/>
    <x v="3"/>
    <s v="Stock"/>
    <s v="Assigned in"/>
    <x v="0"/>
    <m/>
    <n v="200"/>
    <n v="15"/>
    <n v="0"/>
    <n v="-3000"/>
    <n v="-3000"/>
    <s v="Assigned; closed"/>
    <m/>
    <x v="0"/>
    <m/>
    <x v="0"/>
    <n v="0"/>
  </r>
  <r>
    <m/>
    <x v="3"/>
    <x v="4"/>
    <s v="Stock"/>
    <s v="Assigned in"/>
    <x v="0"/>
    <m/>
    <n v="400"/>
    <n v="70"/>
    <n v="0"/>
    <n v="-28000"/>
    <n v="-28000"/>
    <s v="Assigned; closed"/>
    <m/>
    <x v="0"/>
    <m/>
    <x v="0"/>
    <n v="0"/>
  </r>
  <r>
    <m/>
    <x v="4"/>
    <x v="5"/>
    <s v="Stock"/>
    <s v="Assigned in"/>
    <x v="0"/>
    <m/>
    <n v="600"/>
    <n v="18"/>
    <n v="0"/>
    <n v="-10500"/>
    <n v="-10500"/>
    <s v="Assigned; closed"/>
    <m/>
    <x v="0"/>
    <m/>
    <x v="0"/>
    <n v="0"/>
  </r>
  <r>
    <m/>
    <x v="4"/>
    <x v="6"/>
    <s v="Stock"/>
    <s v="Assigned in"/>
    <x v="0"/>
    <m/>
    <n v="200"/>
    <n v="22"/>
    <n v="0"/>
    <n v="-4400"/>
    <n v="-4400"/>
    <s v="Assigned; closed"/>
    <m/>
    <x v="0"/>
    <m/>
    <x v="0"/>
    <n v="0"/>
  </r>
  <r>
    <m/>
    <x v="5"/>
    <x v="5"/>
    <s v="Stock"/>
    <s v="Called away"/>
    <x v="0"/>
    <m/>
    <n v="600"/>
    <n v="18"/>
    <n v="0"/>
    <n v="10500"/>
    <n v="10499.9"/>
    <s v="Called away"/>
    <m/>
    <x v="0"/>
    <m/>
    <x v="0"/>
    <n v="0"/>
  </r>
  <r>
    <n v="1"/>
    <x v="6"/>
    <x v="7"/>
    <s v="Put"/>
    <s v="Sold"/>
    <x v="1"/>
    <n v="86"/>
    <n v="3"/>
    <n v="1"/>
    <n v="2"/>
    <n v="294"/>
    <n v="291.89"/>
    <s v="Expired"/>
    <n v="292"/>
    <x v="1"/>
    <n v="13"/>
    <x v="1"/>
    <n v="25800"/>
  </r>
  <r>
    <n v="1"/>
    <x v="6"/>
    <x v="8"/>
    <s v="Put"/>
    <s v="Sold"/>
    <x v="1"/>
    <n v="218"/>
    <n v="1"/>
    <n v="2"/>
    <n v="0"/>
    <n v="217"/>
    <n v="216.65"/>
    <s v="Expired"/>
    <n v="217"/>
    <x v="2"/>
    <n v="12"/>
    <x v="1"/>
    <n v="21800"/>
  </r>
  <r>
    <n v="1"/>
    <x v="6"/>
    <x v="8"/>
    <s v="Put"/>
    <s v="Sold"/>
    <x v="1"/>
    <n v="218"/>
    <n v="1"/>
    <n v="2"/>
    <n v="1"/>
    <n v="217"/>
    <n v="215.95"/>
    <s v="Expired"/>
    <n v="216"/>
    <x v="3"/>
    <n v="12"/>
    <x v="1"/>
    <n v="21800"/>
  </r>
  <r>
    <n v="1"/>
    <x v="6"/>
    <x v="0"/>
    <s v="Put"/>
    <s v="Sold"/>
    <x v="1"/>
    <n v="240"/>
    <n v="1"/>
    <n v="2"/>
    <n v="1"/>
    <n v="245"/>
    <n v="243.95"/>
    <s v="Expired"/>
    <n v="244"/>
    <x v="4"/>
    <n v="12"/>
    <x v="1"/>
    <n v="24000"/>
  </r>
  <r>
    <n v="1"/>
    <x v="6"/>
    <x v="9"/>
    <s v="Put"/>
    <s v="Sold"/>
    <x v="1"/>
    <n v="115"/>
    <n v="1"/>
    <n v="1"/>
    <n v="0"/>
    <n v="88"/>
    <n v="87.65"/>
    <s v="Expired"/>
    <n v="88"/>
    <x v="5"/>
    <n v="9"/>
    <x v="1"/>
    <n v="11500"/>
  </r>
  <r>
    <n v="1"/>
    <x v="6"/>
    <x v="9"/>
    <s v="Put"/>
    <s v="Sold"/>
    <x v="1"/>
    <n v="115"/>
    <n v="1"/>
    <n v="1"/>
    <n v="1"/>
    <n v="88"/>
    <n v="86.95"/>
    <s v="Expired"/>
    <n v="87"/>
    <x v="6"/>
    <n v="9"/>
    <x v="1"/>
    <n v="11500"/>
  </r>
  <r>
    <n v="1"/>
    <x v="6"/>
    <x v="10"/>
    <s v="Put"/>
    <s v="Sold"/>
    <x v="1"/>
    <n v="98"/>
    <n v="1"/>
    <n v="1"/>
    <n v="0"/>
    <n v="131"/>
    <n v="130.65"/>
    <s v="Expired"/>
    <n v="131"/>
    <x v="7"/>
    <n v="16"/>
    <x v="1"/>
    <n v="9800"/>
  </r>
  <r>
    <n v="1"/>
    <x v="6"/>
    <x v="10"/>
    <s v="Put"/>
    <s v="Sold"/>
    <x v="1"/>
    <n v="98"/>
    <n v="1"/>
    <n v="1"/>
    <n v="1"/>
    <n v="131"/>
    <n v="129.94999999999999"/>
    <s v="Expired"/>
    <n v="130"/>
    <x v="8"/>
    <n v="16"/>
    <x v="1"/>
    <n v="9800"/>
  </r>
  <r>
    <n v="1"/>
    <x v="6"/>
    <x v="11"/>
    <s v="Put"/>
    <s v="Sold"/>
    <x v="1"/>
    <n v="15"/>
    <n v="1"/>
    <n v="0"/>
    <n v="1"/>
    <n v="26"/>
    <n v="25.3"/>
    <s v="Expired"/>
    <n v="25"/>
    <x v="9"/>
    <n v="20"/>
    <x v="1"/>
    <n v="1500"/>
  </r>
  <r>
    <n v="1"/>
    <x v="6"/>
    <x v="11"/>
    <s v="Put"/>
    <s v="Sold"/>
    <x v="1"/>
    <n v="15"/>
    <n v="1"/>
    <n v="0"/>
    <n v="1"/>
    <n v="26"/>
    <n v="25.3"/>
    <s v="Expired"/>
    <n v="25"/>
    <x v="9"/>
    <n v="20"/>
    <x v="1"/>
    <n v="1500"/>
  </r>
  <r>
    <n v="1"/>
    <x v="6"/>
    <x v="11"/>
    <s v="Put"/>
    <s v="Sold"/>
    <x v="1"/>
    <n v="15"/>
    <n v="2"/>
    <n v="0"/>
    <n v="1"/>
    <n v="52"/>
    <n v="50.59"/>
    <s v="Expired"/>
    <n v="51"/>
    <x v="10"/>
    <n v="20"/>
    <x v="1"/>
    <n v="3000"/>
  </r>
  <r>
    <n v="1"/>
    <x v="6"/>
    <x v="11"/>
    <s v="Put"/>
    <s v="Sold"/>
    <x v="1"/>
    <n v="15"/>
    <n v="1"/>
    <n v="0"/>
    <n v="1"/>
    <n v="26"/>
    <n v="25.3"/>
    <s v="Expired"/>
    <n v="25"/>
    <x v="9"/>
    <n v="20"/>
    <x v="1"/>
    <n v="1500"/>
  </r>
  <r>
    <n v="1"/>
    <x v="6"/>
    <x v="12"/>
    <s v="Put"/>
    <s v="Sold"/>
    <x v="1"/>
    <n v="27"/>
    <n v="1"/>
    <n v="1"/>
    <n v="1"/>
    <n v="62"/>
    <n v="60.95"/>
    <s v="Expired"/>
    <n v="61"/>
    <x v="11"/>
    <n v="27"/>
    <x v="1"/>
    <n v="2700"/>
  </r>
  <r>
    <n v="1"/>
    <x v="6"/>
    <x v="12"/>
    <s v="Put"/>
    <s v="Sold"/>
    <x v="1"/>
    <n v="27"/>
    <n v="1"/>
    <n v="1"/>
    <n v="0"/>
    <n v="62"/>
    <n v="61.65"/>
    <s v="Expired"/>
    <n v="62"/>
    <x v="12"/>
    <n v="27"/>
    <x v="1"/>
    <n v="2700"/>
  </r>
  <r>
    <n v="1"/>
    <x v="6"/>
    <x v="4"/>
    <s v="Put"/>
    <s v="Sold"/>
    <x v="1"/>
    <n v="65"/>
    <n v="1"/>
    <n v="2"/>
    <n v="1"/>
    <n v="227"/>
    <n v="225.95"/>
    <s v="Expired"/>
    <n v="226"/>
    <x v="13"/>
    <n v="41"/>
    <x v="1"/>
    <n v="6500"/>
  </r>
  <r>
    <n v="1"/>
    <x v="6"/>
    <x v="4"/>
    <s v="Put"/>
    <s v="Sold"/>
    <x v="1"/>
    <n v="65"/>
    <n v="1"/>
    <n v="2"/>
    <n v="0"/>
    <n v="227"/>
    <n v="226.65"/>
    <s v="Expired"/>
    <n v="227"/>
    <x v="14"/>
    <n v="41"/>
    <x v="1"/>
    <n v="6500"/>
  </r>
  <r>
    <n v="2"/>
    <x v="7"/>
    <x v="13"/>
    <s v="Put"/>
    <s v="Sold"/>
    <x v="2"/>
    <n v="193"/>
    <n v="1"/>
    <n v="3"/>
    <n v="1"/>
    <n v="343"/>
    <n v="341.95"/>
    <s v="Expired"/>
    <n v="342"/>
    <x v="15"/>
    <n v="93"/>
    <x v="2"/>
    <n v="19300"/>
  </r>
  <r>
    <n v="15"/>
    <x v="8"/>
    <x v="10"/>
    <s v="Put"/>
    <s v="Sold"/>
    <x v="3"/>
    <n v="340"/>
    <n v="1"/>
    <n v="11"/>
    <n v="1"/>
    <n v="1099"/>
    <n v="1097.98"/>
    <s v="Expired"/>
    <n v="1098"/>
    <x v="16"/>
    <n v="131"/>
    <x v="3"/>
    <n v="34000"/>
  </r>
  <r>
    <n v="15"/>
    <x v="8"/>
    <x v="14"/>
    <s v="Put"/>
    <s v="Sold"/>
    <x v="3"/>
    <n v="245"/>
    <n v="1"/>
    <n v="11"/>
    <n v="1"/>
    <n v="1055"/>
    <n v="1053.98"/>
    <s v="Expired"/>
    <n v="1054"/>
    <x v="17"/>
    <n v="175"/>
    <x v="3"/>
    <n v="24500"/>
  </r>
  <r>
    <n v="16"/>
    <x v="9"/>
    <x v="15"/>
    <s v="Put"/>
    <s v="Sold"/>
    <x v="4"/>
    <n v="13"/>
    <n v="2"/>
    <n v="0"/>
    <n v="-0.67"/>
    <n v="50"/>
    <n v="50.67"/>
    <s v="Expired"/>
    <n v="51"/>
    <x v="18"/>
    <n v="28"/>
    <x v="4"/>
    <n v="2600"/>
  </r>
  <r>
    <n v="16"/>
    <x v="9"/>
    <x v="15"/>
    <s v="Put"/>
    <s v="Sold"/>
    <x v="4"/>
    <n v="13"/>
    <n v="3"/>
    <n v="0"/>
    <n v="2"/>
    <n v="75"/>
    <n v="73"/>
    <s v="Expired"/>
    <n v="73"/>
    <x v="19"/>
    <n v="28"/>
    <x v="4"/>
    <n v="3900"/>
  </r>
  <r>
    <n v="16"/>
    <x v="9"/>
    <x v="15"/>
    <s v="Put"/>
    <s v="Sold"/>
    <x v="4"/>
    <n v="13"/>
    <n v="1"/>
    <n v="0"/>
    <n v="-0.33"/>
    <n v="25"/>
    <n v="25.33"/>
    <s v="Expired"/>
    <n v="25"/>
    <x v="20"/>
    <n v="28"/>
    <x v="4"/>
    <n v="1300"/>
  </r>
  <r>
    <n v="16"/>
    <x v="9"/>
    <x v="10"/>
    <s v="Put"/>
    <s v="Sold"/>
    <x v="4"/>
    <n v="310"/>
    <n v="1"/>
    <n v="7"/>
    <n v="1"/>
    <n v="727"/>
    <n v="725.98"/>
    <s v="Expired"/>
    <n v="726"/>
    <x v="21"/>
    <n v="34"/>
    <x v="4"/>
    <n v="31000"/>
  </r>
  <r>
    <n v="16"/>
    <x v="9"/>
    <x v="0"/>
    <s v="Put"/>
    <s v="Sold"/>
    <x v="4"/>
    <n v="250"/>
    <n v="1"/>
    <n v="2"/>
    <n v="1"/>
    <n v="173"/>
    <n v="172.33"/>
    <s v="Expired"/>
    <n v="172"/>
    <x v="22"/>
    <n v="10"/>
    <x v="4"/>
    <n v="25000"/>
  </r>
  <r>
    <n v="16"/>
    <x v="9"/>
    <x v="0"/>
    <s v="Put"/>
    <s v="Sold"/>
    <x v="4"/>
    <n v="250"/>
    <n v="1"/>
    <n v="2"/>
    <n v="0"/>
    <n v="174"/>
    <n v="173.98"/>
    <s v="Expired"/>
    <n v="174"/>
    <x v="23"/>
    <n v="10"/>
    <x v="4"/>
    <n v="25000"/>
  </r>
  <r>
    <n v="16"/>
    <x v="9"/>
    <x v="0"/>
    <s v="Put"/>
    <s v="Sold"/>
    <x v="4"/>
    <n v="250"/>
    <n v="1"/>
    <n v="2"/>
    <n v="0"/>
    <n v="174"/>
    <n v="173.68"/>
    <s v="Expired"/>
    <n v="174"/>
    <x v="24"/>
    <n v="10"/>
    <x v="4"/>
    <n v="25000"/>
  </r>
  <r>
    <n v="16"/>
    <x v="9"/>
    <x v="4"/>
    <s v="Put"/>
    <s v="Sold"/>
    <x v="4"/>
    <n v="55"/>
    <n v="1"/>
    <n v="1"/>
    <n v="0"/>
    <n v="112"/>
    <n v="111.68"/>
    <s v="Expired"/>
    <n v="112"/>
    <x v="25"/>
    <n v="30"/>
    <x v="4"/>
    <n v="5500"/>
  </r>
  <r>
    <n v="16"/>
    <x v="9"/>
    <x v="4"/>
    <s v="Put"/>
    <s v="Sold"/>
    <x v="4"/>
    <n v="55"/>
    <n v="1"/>
    <n v="1"/>
    <n v="1"/>
    <n v="112"/>
    <n v="110.98"/>
    <s v="Expired"/>
    <n v="111"/>
    <x v="26"/>
    <n v="30"/>
    <x v="4"/>
    <n v="5500"/>
  </r>
  <r>
    <n v="16"/>
    <x v="9"/>
    <x v="16"/>
    <s v="Put"/>
    <s v="Sold"/>
    <x v="4"/>
    <n v="89"/>
    <n v="1"/>
    <n v="1"/>
    <n v="1"/>
    <n v="126"/>
    <n v="124.98"/>
    <s v="Expired"/>
    <n v="125"/>
    <x v="27"/>
    <n v="21"/>
    <x v="4"/>
    <n v="8900"/>
  </r>
  <r>
    <n v="16"/>
    <x v="9"/>
    <x v="16"/>
    <s v="Put"/>
    <s v="Sold"/>
    <x v="4"/>
    <n v="89"/>
    <n v="1"/>
    <n v="1"/>
    <n v="0"/>
    <n v="126"/>
    <n v="125.68"/>
    <s v="Expired"/>
    <n v="126"/>
    <x v="28"/>
    <n v="21"/>
    <x v="4"/>
    <n v="8900"/>
  </r>
  <r>
    <n v="16"/>
    <x v="9"/>
    <x v="17"/>
    <s v="Put"/>
    <s v="Sold"/>
    <x v="4"/>
    <n v="60"/>
    <n v="1"/>
    <n v="1"/>
    <n v="1"/>
    <n v="107"/>
    <n v="105.98"/>
    <s v="Expired"/>
    <n v="106"/>
    <x v="29"/>
    <n v="26"/>
    <x v="4"/>
    <n v="6000"/>
  </r>
  <r>
    <n v="16"/>
    <x v="9"/>
    <x v="17"/>
    <s v="Put"/>
    <s v="Sold"/>
    <x v="4"/>
    <n v="60"/>
    <n v="1"/>
    <n v="1"/>
    <n v="0"/>
    <n v="107"/>
    <n v="106.68"/>
    <s v="Expired"/>
    <n v="107"/>
    <x v="30"/>
    <n v="26"/>
    <x v="4"/>
    <n v="6000"/>
  </r>
  <r>
    <n v="16"/>
    <x v="9"/>
    <x v="11"/>
    <s v="Put"/>
    <s v="Sold"/>
    <x v="4"/>
    <n v="20"/>
    <n v="3"/>
    <n v="0"/>
    <n v="2"/>
    <n v="87"/>
    <n v="85"/>
    <s v="Expired"/>
    <n v="85"/>
    <x v="31"/>
    <n v="21"/>
    <x v="4"/>
    <n v="6000"/>
  </r>
  <r>
    <n v="16"/>
    <x v="9"/>
    <x v="11"/>
    <s v="Put"/>
    <s v="Sold"/>
    <x v="4"/>
    <n v="20"/>
    <n v="3"/>
    <n v="0"/>
    <n v="2"/>
    <n v="87"/>
    <n v="85"/>
    <s v="Expired"/>
    <n v="85"/>
    <x v="31"/>
    <n v="21"/>
    <x v="4"/>
    <n v="6000"/>
  </r>
  <r>
    <n v="16"/>
    <x v="9"/>
    <x v="13"/>
    <s v="Put"/>
    <s v="Sold"/>
    <x v="4"/>
    <n v="245"/>
    <n v="1"/>
    <n v="3"/>
    <n v="1"/>
    <n v="328"/>
    <n v="326.98"/>
    <s v="Expired"/>
    <n v="327"/>
    <x v="32"/>
    <n v="20"/>
    <x v="4"/>
    <n v="24500"/>
  </r>
  <r>
    <n v="16"/>
    <x v="9"/>
    <x v="13"/>
    <s v="Put"/>
    <s v="Sold"/>
    <x v="4"/>
    <n v="245"/>
    <n v="1"/>
    <n v="3"/>
    <n v="0"/>
    <n v="328"/>
    <n v="327.68"/>
    <s v="Expired"/>
    <n v="328"/>
    <x v="33"/>
    <n v="20"/>
    <x v="4"/>
    <n v="24500"/>
  </r>
  <r>
    <n v="16"/>
    <x v="9"/>
    <x v="5"/>
    <s v="Put"/>
    <s v="Sold"/>
    <x v="4"/>
    <n v="15"/>
    <n v="3"/>
    <n v="0"/>
    <n v="2"/>
    <n v="66"/>
    <n v="64"/>
    <s v="Expired"/>
    <n v="64"/>
    <x v="34"/>
    <n v="21"/>
    <x v="4"/>
    <n v="4500"/>
  </r>
  <r>
    <n v="16"/>
    <x v="9"/>
    <x v="5"/>
    <s v="Put"/>
    <s v="Sold"/>
    <x v="4"/>
    <n v="15"/>
    <n v="3"/>
    <n v="0"/>
    <n v="-1"/>
    <n v="66"/>
    <n v="67"/>
    <s v="Expired"/>
    <n v="67"/>
    <x v="35"/>
    <n v="21"/>
    <x v="4"/>
    <n v="4500"/>
  </r>
  <r>
    <n v="16"/>
    <x v="9"/>
    <x v="4"/>
    <s v="Call"/>
    <s v="Sold"/>
    <x v="4"/>
    <n v="75"/>
    <n v="2"/>
    <n v="3"/>
    <n v="1"/>
    <n v="620"/>
    <n v="618.66999999999996"/>
    <s v="Closed"/>
    <n v="619"/>
    <x v="36"/>
    <m/>
    <x v="4"/>
    <n v="15000"/>
  </r>
  <r>
    <n v="16"/>
    <x v="9"/>
    <x v="4"/>
    <s v="Call"/>
    <s v="Sold"/>
    <x v="4"/>
    <n v="75"/>
    <n v="2"/>
    <n v="3"/>
    <n v="1"/>
    <n v="620"/>
    <n v="618.66999999999996"/>
    <s v="Closed"/>
    <n v="619"/>
    <x v="36"/>
    <m/>
    <x v="4"/>
    <n v="15000"/>
  </r>
  <r>
    <n v="16"/>
    <x v="9"/>
    <x v="3"/>
    <s v="Call"/>
    <s v="Bought"/>
    <x v="5"/>
    <n v="18"/>
    <n v="2"/>
    <n v="0"/>
    <n v="1"/>
    <n v="-76"/>
    <n v="-77.33"/>
    <s v="Closed"/>
    <n v="-77.33"/>
    <x v="37"/>
    <m/>
    <x v="5"/>
    <n v="3600"/>
  </r>
  <r>
    <n v="16"/>
    <x v="9"/>
    <x v="3"/>
    <s v="Call"/>
    <s v="Bought"/>
    <x v="5"/>
    <n v="18"/>
    <n v="2"/>
    <n v="0"/>
    <n v="1"/>
    <n v="-76"/>
    <n v="-77.33"/>
    <s v="Closed"/>
    <n v="-77.33"/>
    <x v="37"/>
    <m/>
    <x v="5"/>
    <n v="3600"/>
  </r>
  <r>
    <n v="16"/>
    <x v="9"/>
    <x v="3"/>
    <s v="Call"/>
    <s v="Sold"/>
    <x v="5"/>
    <n v="15"/>
    <n v="3"/>
    <n v="1"/>
    <n v="2"/>
    <n v="234"/>
    <n v="231.99"/>
    <s v="Expired"/>
    <n v="232"/>
    <x v="38"/>
    <m/>
    <x v="5"/>
    <n v="4500"/>
  </r>
  <r>
    <n v="16"/>
    <x v="9"/>
    <x v="6"/>
    <s v="Stock"/>
    <s v="Sold shares"/>
    <x v="0"/>
    <m/>
    <n v="129"/>
    <n v="23"/>
    <n v="1"/>
    <n v="3027.63"/>
    <n v="3026.61"/>
    <s v="Closed"/>
    <m/>
    <x v="0"/>
    <m/>
    <x v="0"/>
    <n v="0"/>
  </r>
  <r>
    <n v="16"/>
    <x v="9"/>
    <x v="6"/>
    <s v="Stock"/>
    <s v="Sold shares"/>
    <x v="0"/>
    <m/>
    <n v="71"/>
    <n v="23"/>
    <n v="0"/>
    <n v="1666.37"/>
    <n v="1666.36"/>
    <s v="Closed"/>
    <m/>
    <x v="0"/>
    <m/>
    <x v="0"/>
    <n v="0"/>
  </r>
  <r>
    <n v="16"/>
    <x v="9"/>
    <x v="14"/>
    <s v="Put"/>
    <s v="Sold"/>
    <x v="4"/>
    <n v="225"/>
    <n v="1"/>
    <n v="2"/>
    <n v="1"/>
    <n v="202"/>
    <n v="200.98"/>
    <s v="Expired"/>
    <n v="201"/>
    <x v="39"/>
    <n v="13"/>
    <x v="4"/>
    <n v="22500"/>
  </r>
  <r>
    <n v="16"/>
    <x v="9"/>
    <x v="14"/>
    <s v="Put"/>
    <s v="Sold"/>
    <x v="4"/>
    <n v="225"/>
    <n v="1"/>
    <n v="2"/>
    <n v="0"/>
    <n v="202"/>
    <n v="201.68"/>
    <s v="Expired"/>
    <n v="202"/>
    <x v="40"/>
    <n v="13"/>
    <x v="4"/>
    <n v="22500"/>
  </r>
  <r>
    <n v="11"/>
    <x v="10"/>
    <x v="18"/>
    <s v="Put"/>
    <s v="Sold"/>
    <x v="6"/>
    <n v="85"/>
    <n v="1"/>
    <n v="4"/>
    <n v="1"/>
    <n v="364"/>
    <n v="362.95"/>
    <s v="Expired"/>
    <n v="363"/>
    <x v="41"/>
    <n v="87"/>
    <x v="6"/>
    <n v="8500"/>
  </r>
  <r>
    <n v="12"/>
    <x v="3"/>
    <x v="4"/>
    <s v="Call"/>
    <s v="Sold"/>
    <x v="3"/>
    <n v="70"/>
    <n v="2"/>
    <n v="2"/>
    <n v="1"/>
    <n v="318"/>
    <n v="316.60000000000002"/>
    <s v="Expired"/>
    <n v="317"/>
    <x v="42"/>
    <m/>
    <x v="7"/>
    <n v="14000"/>
  </r>
  <r>
    <n v="12"/>
    <x v="3"/>
    <x v="4"/>
    <s v="Call"/>
    <s v="Sold"/>
    <x v="3"/>
    <n v="70"/>
    <n v="2"/>
    <n v="2"/>
    <n v="1"/>
    <n v="318"/>
    <n v="316.60000000000002"/>
    <s v="Expired"/>
    <n v="317"/>
    <x v="42"/>
    <m/>
    <x v="7"/>
    <n v="14000"/>
  </r>
  <r>
    <n v="13"/>
    <x v="3"/>
    <x v="5"/>
    <s v="Call"/>
    <s v="Sold"/>
    <x v="3"/>
    <n v="18"/>
    <n v="1"/>
    <n v="0"/>
    <n v="-0.65"/>
    <n v="37"/>
    <n v="37.65"/>
    <s v="Assigned"/>
    <n v="38"/>
    <x v="43"/>
    <m/>
    <x v="7"/>
    <n v="1800"/>
  </r>
  <r>
    <n v="13"/>
    <x v="3"/>
    <x v="5"/>
    <s v="Call"/>
    <s v="Sold"/>
    <x v="3"/>
    <n v="18"/>
    <n v="3"/>
    <n v="0"/>
    <n v="2"/>
    <n v="111"/>
    <n v="108.9"/>
    <s v="Assigned"/>
    <n v="109"/>
    <x v="44"/>
    <m/>
    <x v="7"/>
    <n v="5400"/>
  </r>
  <r>
    <n v="13"/>
    <x v="3"/>
    <x v="5"/>
    <s v="Call"/>
    <s v="Sold"/>
    <x v="3"/>
    <n v="18"/>
    <n v="1"/>
    <n v="0"/>
    <n v="-0.3"/>
    <n v="37"/>
    <n v="37.299999999999997"/>
    <s v="Assigned"/>
    <n v="37"/>
    <x v="45"/>
    <m/>
    <x v="7"/>
    <n v="1800"/>
  </r>
  <r>
    <n v="13"/>
    <x v="3"/>
    <x v="5"/>
    <s v="Call"/>
    <s v="Sold"/>
    <x v="3"/>
    <n v="18"/>
    <n v="1"/>
    <n v="0"/>
    <n v="0"/>
    <n v="37"/>
    <n v="36.950000000000003"/>
    <s v="Assigned"/>
    <n v="37"/>
    <x v="46"/>
    <m/>
    <x v="7"/>
    <n v="1800"/>
  </r>
  <r>
    <n v="14"/>
    <x v="11"/>
    <x v="6"/>
    <s v="Call"/>
    <s v="Sold"/>
    <x v="7"/>
    <n v="36"/>
    <n v="2"/>
    <n v="1"/>
    <n v="1"/>
    <n v="260"/>
    <n v="258.60000000000002"/>
    <s v="Closed"/>
    <n v="259"/>
    <x v="47"/>
    <m/>
    <x v="5"/>
    <n v="7200"/>
  </r>
  <r>
    <n v="14"/>
    <x v="11"/>
    <x v="6"/>
    <s v="Call"/>
    <s v="Sold"/>
    <x v="3"/>
    <n v="26"/>
    <n v="1"/>
    <n v="1"/>
    <n v="0"/>
    <n v="107"/>
    <n v="106.65"/>
    <s v="Expired"/>
    <n v="107"/>
    <x v="48"/>
    <m/>
    <x v="4"/>
    <n v="2600"/>
  </r>
  <r>
    <n v="14"/>
    <x v="11"/>
    <x v="6"/>
    <s v="Call"/>
    <s v="Sold"/>
    <x v="3"/>
    <n v="26"/>
    <n v="1"/>
    <n v="1"/>
    <n v="1"/>
    <n v="107"/>
    <n v="105.95"/>
    <s v="Expired"/>
    <n v="106"/>
    <x v="49"/>
    <m/>
    <x v="4"/>
    <n v="2600"/>
  </r>
  <r>
    <n v="14"/>
    <x v="11"/>
    <x v="19"/>
    <s v="Put"/>
    <s v="Sold"/>
    <x v="3"/>
    <n v="70"/>
    <n v="3"/>
    <n v="1"/>
    <n v="2"/>
    <n v="300"/>
    <n v="297.89999999999998"/>
    <s v="Expired"/>
    <n v="298"/>
    <x v="50"/>
    <n v="21"/>
    <x v="4"/>
    <n v="21000"/>
  </r>
  <r>
    <n v="14"/>
    <x v="11"/>
    <x v="0"/>
    <s v="Put"/>
    <s v="Sold"/>
    <x v="3"/>
    <n v="280"/>
    <n v="1"/>
    <n v="4"/>
    <n v="1"/>
    <n v="379"/>
    <n v="377.95"/>
    <s v="Expired"/>
    <n v="378"/>
    <x v="51"/>
    <n v="20"/>
    <x v="4"/>
    <n v="28000"/>
  </r>
  <r>
    <n v="14"/>
    <x v="11"/>
    <x v="20"/>
    <s v="Put"/>
    <s v="Sold"/>
    <x v="3"/>
    <n v="23"/>
    <n v="3"/>
    <n v="0"/>
    <n v="2"/>
    <n v="84"/>
    <n v="81.900000000000006"/>
    <s v="Expired"/>
    <n v="82"/>
    <x v="52"/>
    <n v="18"/>
    <x v="4"/>
    <n v="6900"/>
  </r>
  <r>
    <n v="14"/>
    <x v="11"/>
    <x v="20"/>
    <s v="Put"/>
    <s v="Sold"/>
    <x v="3"/>
    <n v="23"/>
    <n v="3"/>
    <n v="0"/>
    <n v="2"/>
    <n v="84"/>
    <n v="81.900000000000006"/>
    <s v="Expired"/>
    <n v="82"/>
    <x v="52"/>
    <n v="18"/>
    <x v="4"/>
    <n v="6900"/>
  </r>
  <r>
    <n v="14"/>
    <x v="11"/>
    <x v="17"/>
    <s v="Put"/>
    <s v="Sold"/>
    <x v="3"/>
    <n v="55"/>
    <n v="1"/>
    <n v="1"/>
    <n v="0"/>
    <n v="146"/>
    <n v="145.65"/>
    <s v="Expired"/>
    <n v="146"/>
    <x v="53"/>
    <n v="39"/>
    <x v="4"/>
    <n v="5500"/>
  </r>
  <r>
    <n v="14"/>
    <x v="11"/>
    <x v="17"/>
    <s v="Put"/>
    <s v="Sold"/>
    <x v="3"/>
    <n v="55"/>
    <n v="1"/>
    <n v="1"/>
    <n v="1"/>
    <n v="146"/>
    <n v="144.94999999999999"/>
    <s v="Expired"/>
    <n v="145"/>
    <x v="54"/>
    <n v="39"/>
    <x v="4"/>
    <n v="5500"/>
  </r>
  <r>
    <n v="14"/>
    <x v="11"/>
    <x v="21"/>
    <s v="Put"/>
    <s v="Sold"/>
    <x v="3"/>
    <n v="88"/>
    <n v="2"/>
    <n v="1"/>
    <n v="1"/>
    <n v="232"/>
    <n v="230.6"/>
    <s v="Expired"/>
    <n v="231"/>
    <x v="55"/>
    <n v="19"/>
    <x v="4"/>
    <n v="17600"/>
  </r>
  <r>
    <n v="14"/>
    <x v="11"/>
    <x v="13"/>
    <s v="Put"/>
    <s v="Sold"/>
    <x v="3"/>
    <n v="255"/>
    <n v="2"/>
    <n v="7"/>
    <n v="1"/>
    <n v="1320"/>
    <n v="1318.6"/>
    <s v="Expired"/>
    <n v="1319"/>
    <x v="56"/>
    <n v="38"/>
    <x v="4"/>
    <n v="51000"/>
  </r>
  <r>
    <n v="14"/>
    <x v="11"/>
    <x v="11"/>
    <s v="Put"/>
    <s v="Sold"/>
    <x v="3"/>
    <n v="18"/>
    <n v="1"/>
    <n v="0"/>
    <n v="-0.3"/>
    <n v="34"/>
    <n v="34.299999999999997"/>
    <s v="Expired"/>
    <n v="34"/>
    <x v="57"/>
    <n v="28"/>
    <x v="4"/>
    <n v="1800"/>
  </r>
  <r>
    <n v="14"/>
    <x v="11"/>
    <x v="11"/>
    <s v="Put"/>
    <s v="Sold"/>
    <x v="3"/>
    <n v="18"/>
    <n v="1"/>
    <n v="0"/>
    <n v="-0.3"/>
    <n v="34"/>
    <n v="34.299999999999997"/>
    <s v="Expired"/>
    <n v="34"/>
    <x v="57"/>
    <n v="28"/>
    <x v="4"/>
    <n v="1800"/>
  </r>
  <r>
    <n v="14"/>
    <x v="11"/>
    <x v="11"/>
    <s v="Put"/>
    <s v="Sold"/>
    <x v="3"/>
    <n v="18"/>
    <n v="1"/>
    <n v="0"/>
    <n v="-0.3"/>
    <n v="34"/>
    <n v="34.299999999999997"/>
    <s v="Expired"/>
    <n v="34"/>
    <x v="57"/>
    <n v="28"/>
    <x v="4"/>
    <n v="1800"/>
  </r>
  <r>
    <n v="14"/>
    <x v="11"/>
    <x v="11"/>
    <s v="Put"/>
    <s v="Sold"/>
    <x v="3"/>
    <n v="18"/>
    <n v="3"/>
    <n v="0"/>
    <n v="2"/>
    <n v="102"/>
    <n v="99.9"/>
    <s v="Expired"/>
    <n v="100"/>
    <x v="58"/>
    <n v="28"/>
    <x v="4"/>
    <n v="5400"/>
  </r>
  <r>
    <n v="14"/>
    <x v="11"/>
    <x v="14"/>
    <s v="Put"/>
    <s v="Sold"/>
    <x v="3"/>
    <n v="183"/>
    <n v="1"/>
    <n v="4"/>
    <n v="1"/>
    <n v="432"/>
    <n v="430.95"/>
    <s v="Expired"/>
    <n v="431"/>
    <x v="59"/>
    <n v="35"/>
    <x v="4"/>
    <n v="18300"/>
  </r>
  <r>
    <n v="14"/>
    <x v="11"/>
    <x v="14"/>
    <s v="Put"/>
    <s v="Sold"/>
    <x v="3"/>
    <n v="183"/>
    <n v="1"/>
    <n v="4"/>
    <n v="0"/>
    <n v="432"/>
    <n v="431.65"/>
    <s v="Expired"/>
    <n v="432"/>
    <x v="60"/>
    <n v="35"/>
    <x v="4"/>
    <n v="18300"/>
  </r>
  <r>
    <m/>
    <x v="12"/>
    <x v="6"/>
    <s v="Stock"/>
    <s v="Assigned in"/>
    <x v="0"/>
    <m/>
    <n v="200"/>
    <n v="36"/>
    <n v="0"/>
    <n v="-7200"/>
    <n v="-7200"/>
    <s v="Assigned"/>
    <m/>
    <x v="0"/>
    <m/>
    <x v="0"/>
    <n v="0"/>
  </r>
  <r>
    <n v="9"/>
    <x v="12"/>
    <x v="2"/>
    <s v="Call"/>
    <s v="Sold"/>
    <x v="6"/>
    <n v="35"/>
    <n v="2"/>
    <n v="2"/>
    <n v="1"/>
    <n v="474"/>
    <n v="472.95"/>
    <s v="Expired"/>
    <n v="473"/>
    <x v="61"/>
    <m/>
    <x v="8"/>
    <n v="7000"/>
  </r>
  <r>
    <n v="9"/>
    <x v="12"/>
    <x v="2"/>
    <s v="Call"/>
    <s v="Sold"/>
    <x v="6"/>
    <n v="35"/>
    <n v="1"/>
    <n v="2"/>
    <n v="0"/>
    <n v="237"/>
    <n v="236.95"/>
    <s v="Expired"/>
    <n v="237"/>
    <x v="62"/>
    <m/>
    <x v="8"/>
    <n v="3500"/>
  </r>
  <r>
    <n v="9"/>
    <x v="12"/>
    <x v="6"/>
    <s v="Call"/>
    <s v="Sold"/>
    <x v="6"/>
    <n v="36"/>
    <n v="2"/>
    <n v="2"/>
    <n v="0"/>
    <n v="420"/>
    <n v="419.9"/>
    <s v="Expired"/>
    <n v="420"/>
    <x v="63"/>
    <m/>
    <x v="8"/>
    <n v="7200"/>
  </r>
  <r>
    <m/>
    <x v="13"/>
    <x v="1"/>
    <s v="Stock"/>
    <s v="Assigned in"/>
    <x v="0"/>
    <m/>
    <n v="200"/>
    <n v="55"/>
    <n v="0"/>
    <n v="-11000"/>
    <n v="-11000"/>
    <s v="Assigned"/>
    <m/>
    <x v="0"/>
    <m/>
    <x v="0"/>
    <n v="0"/>
  </r>
  <r>
    <m/>
    <x v="13"/>
    <x v="2"/>
    <s v="Stock"/>
    <s v="Assigned in"/>
    <x v="0"/>
    <m/>
    <n v="300"/>
    <n v="35"/>
    <n v="0"/>
    <n v="-10500"/>
    <n v="-10500"/>
    <s v="Assigned"/>
    <m/>
    <x v="0"/>
    <m/>
    <x v="0"/>
    <n v="0"/>
  </r>
  <r>
    <n v="10"/>
    <x v="14"/>
    <x v="0"/>
    <s v="Put"/>
    <s v="Sold"/>
    <x v="6"/>
    <n v="290"/>
    <n v="1"/>
    <n v="4"/>
    <n v="0"/>
    <n v="417"/>
    <n v="416.65"/>
    <s v="Expired"/>
    <n v="417"/>
    <x v="64"/>
    <n v="16"/>
    <x v="9"/>
    <n v="29000"/>
  </r>
  <r>
    <n v="10"/>
    <x v="14"/>
    <x v="0"/>
    <s v="Put"/>
    <s v="Sold"/>
    <x v="6"/>
    <n v="290"/>
    <n v="1"/>
    <n v="4"/>
    <n v="1"/>
    <n v="417"/>
    <n v="415.95"/>
    <s v="Expired"/>
    <n v="416"/>
    <x v="65"/>
    <n v="16"/>
    <x v="9"/>
    <n v="29000"/>
  </r>
  <r>
    <n v="10"/>
    <x v="14"/>
    <x v="18"/>
    <s v="Put"/>
    <s v="Sold"/>
    <x v="6"/>
    <n v="80"/>
    <n v="1"/>
    <n v="2"/>
    <n v="1"/>
    <n v="192"/>
    <n v="191.3"/>
    <s v="Expired"/>
    <n v="191"/>
    <x v="66"/>
    <n v="27"/>
    <x v="9"/>
    <n v="8000"/>
  </r>
  <r>
    <n v="10"/>
    <x v="14"/>
    <x v="18"/>
    <s v="Put"/>
    <s v="Sold"/>
    <x v="6"/>
    <n v="80"/>
    <n v="1"/>
    <n v="2"/>
    <n v="1"/>
    <n v="191"/>
    <n v="189.95"/>
    <s v="Expired"/>
    <n v="190"/>
    <x v="67"/>
    <n v="27"/>
    <x v="9"/>
    <n v="8000"/>
  </r>
  <r>
    <n v="10"/>
    <x v="14"/>
    <x v="18"/>
    <s v="Put"/>
    <s v="Sold"/>
    <x v="6"/>
    <n v="80"/>
    <n v="1"/>
    <n v="2"/>
    <n v="0"/>
    <n v="192"/>
    <n v="191.65"/>
    <s v="Expired"/>
    <n v="192"/>
    <x v="68"/>
    <n v="27"/>
    <x v="9"/>
    <n v="8000"/>
  </r>
  <r>
    <n v="10"/>
    <x v="14"/>
    <x v="6"/>
    <s v="Put"/>
    <s v="Sold"/>
    <x v="6"/>
    <n v="22"/>
    <n v="1"/>
    <n v="1"/>
    <n v="1"/>
    <n v="112"/>
    <n v="110.95"/>
    <s v="Assigned"/>
    <n v="111"/>
    <x v="69"/>
    <n v="58"/>
    <x v="9"/>
    <n v="2200"/>
  </r>
  <r>
    <n v="10"/>
    <x v="14"/>
    <x v="6"/>
    <s v="Put"/>
    <s v="Sold"/>
    <x v="6"/>
    <n v="22"/>
    <n v="1"/>
    <n v="1"/>
    <n v="0"/>
    <n v="112"/>
    <n v="111.65"/>
    <s v="Assigned"/>
    <n v="112"/>
    <x v="70"/>
    <n v="58"/>
    <x v="9"/>
    <n v="2200"/>
  </r>
  <r>
    <n v="10"/>
    <x v="14"/>
    <x v="17"/>
    <s v="Put"/>
    <s v="Sold"/>
    <x v="6"/>
    <n v="50"/>
    <n v="1"/>
    <n v="2"/>
    <n v="1"/>
    <n v="215"/>
    <n v="213.95"/>
    <s v="Expired"/>
    <n v="214"/>
    <x v="71"/>
    <n v="49"/>
    <x v="9"/>
    <n v="5000"/>
  </r>
  <r>
    <n v="10"/>
    <x v="14"/>
    <x v="17"/>
    <s v="Put"/>
    <s v="Sold"/>
    <x v="6"/>
    <n v="50"/>
    <n v="2"/>
    <n v="2"/>
    <n v="1"/>
    <n v="434"/>
    <n v="432.95"/>
    <s v="Expired"/>
    <n v="433"/>
    <x v="72"/>
    <n v="50"/>
    <x v="9"/>
    <n v="10000"/>
  </r>
  <r>
    <n v="10"/>
    <x v="14"/>
    <x v="22"/>
    <s v="Put"/>
    <s v="Sold"/>
    <x v="6"/>
    <n v="55"/>
    <n v="1"/>
    <n v="2"/>
    <n v="0"/>
    <n v="172"/>
    <n v="171.65"/>
    <s v="Expired"/>
    <n v="172"/>
    <x v="73"/>
    <n v="36"/>
    <x v="9"/>
    <n v="5500"/>
  </r>
  <r>
    <n v="10"/>
    <x v="14"/>
    <x v="22"/>
    <s v="Put"/>
    <s v="Sold"/>
    <x v="6"/>
    <n v="55"/>
    <n v="1"/>
    <n v="2"/>
    <n v="1"/>
    <n v="171"/>
    <n v="170.3"/>
    <s v="Expired"/>
    <n v="170"/>
    <x v="74"/>
    <n v="35"/>
    <x v="9"/>
    <n v="5500"/>
  </r>
  <r>
    <n v="10"/>
    <x v="14"/>
    <x v="22"/>
    <s v="Put"/>
    <s v="Sold"/>
    <x v="6"/>
    <n v="55"/>
    <n v="1"/>
    <n v="2"/>
    <n v="1"/>
    <n v="172"/>
    <n v="170.95"/>
    <s v="Expired"/>
    <n v="171"/>
    <x v="75"/>
    <n v="36"/>
    <x v="9"/>
    <n v="5500"/>
  </r>
  <r>
    <n v="10"/>
    <x v="14"/>
    <x v="4"/>
    <s v="Put"/>
    <s v="Sold"/>
    <x v="6"/>
    <n v="70"/>
    <n v="2"/>
    <n v="3"/>
    <n v="1"/>
    <n v="602"/>
    <n v="600.6"/>
    <s v="Assigned"/>
    <n v="601"/>
    <x v="76"/>
    <n v="49"/>
    <x v="9"/>
    <n v="14000"/>
  </r>
  <r>
    <n v="10"/>
    <x v="14"/>
    <x v="4"/>
    <s v="Put"/>
    <s v="Sold"/>
    <x v="6"/>
    <n v="70"/>
    <n v="2"/>
    <n v="3"/>
    <n v="1"/>
    <n v="602"/>
    <n v="600.6"/>
    <s v="Assigned"/>
    <n v="601"/>
    <x v="76"/>
    <n v="49"/>
    <x v="9"/>
    <n v="14000"/>
  </r>
  <r>
    <n v="10"/>
    <x v="14"/>
    <x v="23"/>
    <s v="Put"/>
    <s v="Sold"/>
    <x v="6"/>
    <n v="31"/>
    <n v="6"/>
    <n v="1"/>
    <n v="5"/>
    <n v="230.79"/>
    <n v="225.44"/>
    <s v="Expired"/>
    <n v="225"/>
    <x v="77"/>
    <n v="20"/>
    <x v="9"/>
    <n v="18600"/>
  </r>
  <r>
    <n v="10"/>
    <x v="14"/>
    <x v="8"/>
    <s v="Put"/>
    <s v="Sold"/>
    <x v="6"/>
    <n v="260"/>
    <n v="1"/>
    <n v="3"/>
    <n v="1"/>
    <n v="264"/>
    <n v="262.95"/>
    <s v="Expired"/>
    <n v="263"/>
    <x v="78"/>
    <n v="12"/>
    <x v="9"/>
    <n v="26000"/>
  </r>
  <r>
    <n v="10"/>
    <x v="14"/>
    <x v="8"/>
    <s v="Put"/>
    <s v="Sold"/>
    <x v="6"/>
    <n v="260"/>
    <n v="1"/>
    <n v="3"/>
    <n v="0"/>
    <n v="264"/>
    <n v="263.64999999999998"/>
    <s v="Expired"/>
    <n v="264"/>
    <x v="79"/>
    <n v="12"/>
    <x v="9"/>
    <n v="26000"/>
  </r>
  <r>
    <n v="10"/>
    <x v="14"/>
    <x v="13"/>
    <s v="Put"/>
    <s v="Sold"/>
    <x v="6"/>
    <n v="220"/>
    <n v="1"/>
    <n v="7"/>
    <n v="1"/>
    <n v="673"/>
    <n v="671.95"/>
    <s v="Expired"/>
    <n v="672"/>
    <x v="80"/>
    <n v="35"/>
    <x v="9"/>
    <n v="22000"/>
  </r>
  <r>
    <n v="10"/>
    <x v="14"/>
    <x v="13"/>
    <s v="Put"/>
    <s v="Sold"/>
    <x v="6"/>
    <n v="220"/>
    <n v="1"/>
    <n v="7"/>
    <n v="0"/>
    <n v="673"/>
    <n v="672.65"/>
    <s v="Expired"/>
    <n v="673"/>
    <x v="81"/>
    <n v="35"/>
    <x v="9"/>
    <n v="22000"/>
  </r>
  <r>
    <n v="10"/>
    <x v="14"/>
    <x v="24"/>
    <s v="Put"/>
    <s v="Sold"/>
    <x v="6"/>
    <n v="127"/>
    <n v="2"/>
    <n v="6"/>
    <n v="1"/>
    <n v="1210"/>
    <n v="1208.5999999999999"/>
    <s v="Expired"/>
    <n v="1209"/>
    <x v="82"/>
    <n v="54"/>
    <x v="9"/>
    <n v="25400"/>
  </r>
  <r>
    <n v="10"/>
    <x v="14"/>
    <x v="5"/>
    <s v="Put"/>
    <s v="Sold"/>
    <x v="6"/>
    <n v="18"/>
    <n v="2"/>
    <n v="1"/>
    <n v="1"/>
    <n v="148"/>
    <n v="146.6"/>
    <s v="Assigned"/>
    <n v="147"/>
    <x v="83"/>
    <n v="48"/>
    <x v="9"/>
    <n v="3600"/>
  </r>
  <r>
    <n v="10"/>
    <x v="14"/>
    <x v="5"/>
    <s v="Put"/>
    <s v="Sold"/>
    <x v="6"/>
    <n v="18"/>
    <n v="3"/>
    <n v="1"/>
    <n v="2"/>
    <n v="222"/>
    <n v="219.9"/>
    <s v="Assigned"/>
    <n v="220"/>
    <x v="83"/>
    <n v="48"/>
    <x v="9"/>
    <n v="5400"/>
  </r>
  <r>
    <n v="10"/>
    <x v="14"/>
    <x v="5"/>
    <s v="Put"/>
    <s v="Sold"/>
    <x v="6"/>
    <n v="18"/>
    <n v="1"/>
    <n v="1"/>
    <n v="1"/>
    <n v="74"/>
    <n v="73.3"/>
    <s v="Assigned"/>
    <n v="73"/>
    <x v="83"/>
    <n v="48"/>
    <x v="9"/>
    <n v="1800"/>
  </r>
  <r>
    <n v="10"/>
    <x v="14"/>
    <x v="11"/>
    <s v="Put"/>
    <s v="Sold"/>
    <x v="6"/>
    <n v="20"/>
    <n v="3"/>
    <n v="1"/>
    <n v="2"/>
    <n v="174"/>
    <n v="171.9"/>
    <s v="Expired"/>
    <n v="172"/>
    <x v="84"/>
    <n v="33"/>
    <x v="9"/>
    <n v="6000"/>
  </r>
  <r>
    <n v="10"/>
    <x v="14"/>
    <x v="11"/>
    <s v="Put"/>
    <s v="Sold"/>
    <x v="6"/>
    <n v="20"/>
    <n v="3"/>
    <n v="1"/>
    <n v="2"/>
    <n v="174"/>
    <n v="171.9"/>
    <s v="Expired"/>
    <n v="172"/>
    <x v="84"/>
    <n v="33"/>
    <x v="9"/>
    <n v="6000"/>
  </r>
  <r>
    <n v="10"/>
    <x v="14"/>
    <x v="14"/>
    <s v="Put"/>
    <s v="Sold"/>
    <x v="6"/>
    <n v="183"/>
    <n v="1"/>
    <n v="6"/>
    <n v="1"/>
    <n v="563"/>
    <n v="561.95000000000005"/>
    <s v="Expired"/>
    <n v="562"/>
    <x v="85"/>
    <n v="35"/>
    <x v="9"/>
    <n v="18300"/>
  </r>
  <r>
    <n v="10"/>
    <x v="14"/>
    <x v="14"/>
    <s v="Put"/>
    <s v="Sold"/>
    <x v="6"/>
    <n v="183"/>
    <n v="1"/>
    <n v="6"/>
    <n v="0"/>
    <n v="563"/>
    <n v="562.65"/>
    <s v="Expired"/>
    <n v="563"/>
    <x v="86"/>
    <n v="35"/>
    <x v="9"/>
    <n v="18300"/>
  </r>
  <r>
    <n v="3"/>
    <x v="15"/>
    <x v="6"/>
    <s v="Put"/>
    <s v="Sold"/>
    <x v="1"/>
    <n v="34"/>
    <n v="1"/>
    <n v="2"/>
    <n v="1"/>
    <n v="151"/>
    <n v="150.30000000000001"/>
    <s v="Expired"/>
    <n v="150"/>
    <x v="87"/>
    <n v="101"/>
    <x v="10"/>
    <n v="3400"/>
  </r>
  <r>
    <n v="3"/>
    <x v="15"/>
    <x v="6"/>
    <s v="Put"/>
    <s v="Sold"/>
    <x v="1"/>
    <n v="34"/>
    <n v="1"/>
    <n v="2"/>
    <n v="0"/>
    <n v="151"/>
    <n v="150.65"/>
    <s v="Expired"/>
    <n v="151"/>
    <x v="88"/>
    <n v="101"/>
    <x v="10"/>
    <n v="3400"/>
  </r>
  <r>
    <n v="3"/>
    <x v="15"/>
    <x v="6"/>
    <s v="Put"/>
    <s v="Sold"/>
    <x v="1"/>
    <n v="34"/>
    <n v="1"/>
    <n v="2"/>
    <n v="1"/>
    <n v="151"/>
    <n v="149.94999999999999"/>
    <s v="Expired"/>
    <n v="150"/>
    <x v="89"/>
    <n v="101"/>
    <x v="10"/>
    <n v="3400"/>
  </r>
  <r>
    <n v="4"/>
    <x v="16"/>
    <x v="13"/>
    <s v="Put"/>
    <s v="Sold"/>
    <x v="8"/>
    <n v="235"/>
    <n v="1"/>
    <n v="2"/>
    <n v="1"/>
    <n v="243"/>
    <n v="241.95"/>
    <s v="Expired"/>
    <n v="242"/>
    <x v="90"/>
    <n v="94"/>
    <x v="11"/>
    <n v="23500"/>
  </r>
  <r>
    <n v="4"/>
    <x v="16"/>
    <x v="13"/>
    <s v="Put"/>
    <s v="Sold"/>
    <x v="8"/>
    <n v="225"/>
    <n v="1"/>
    <n v="1"/>
    <n v="1"/>
    <n v="94"/>
    <n v="92.95"/>
    <s v="Expired"/>
    <n v="93"/>
    <x v="91"/>
    <n v="38"/>
    <x v="11"/>
    <n v="22500"/>
  </r>
  <r>
    <n v="5"/>
    <x v="17"/>
    <x v="6"/>
    <s v="Put"/>
    <s v="Sold"/>
    <x v="1"/>
    <n v="35"/>
    <n v="2"/>
    <n v="1"/>
    <n v="-0.59"/>
    <n v="130"/>
    <n v="130.59"/>
    <s v="Expired"/>
    <n v="131"/>
    <x v="92"/>
    <n v="85"/>
    <x v="12"/>
    <n v="7000"/>
  </r>
  <r>
    <n v="5"/>
    <x v="17"/>
    <x v="25"/>
    <s v="Put"/>
    <s v="Sold"/>
    <x v="1"/>
    <n v="270"/>
    <n v="1"/>
    <n v="3"/>
    <n v="1"/>
    <n v="327"/>
    <n v="325.95"/>
    <s v="Expired"/>
    <n v="326"/>
    <x v="93"/>
    <n v="55"/>
    <x v="12"/>
    <n v="27000"/>
  </r>
  <r>
    <n v="5"/>
    <x v="17"/>
    <x v="4"/>
    <s v="Put"/>
    <s v="Sold"/>
    <x v="1"/>
    <n v="80"/>
    <n v="1"/>
    <n v="1"/>
    <n v="1"/>
    <n v="110"/>
    <n v="108.65"/>
    <s v="Expired"/>
    <n v="109"/>
    <x v="94"/>
    <n v="63"/>
    <x v="12"/>
    <n v="8000"/>
  </r>
  <r>
    <n v="5"/>
    <x v="17"/>
    <x v="4"/>
    <s v="Put"/>
    <s v="Sold"/>
    <x v="1"/>
    <n v="80"/>
    <n v="1"/>
    <n v="1"/>
    <n v="2"/>
    <n v="100"/>
    <n v="97.95"/>
    <s v="Expired"/>
    <n v="98"/>
    <x v="95"/>
    <n v="57"/>
    <x v="12"/>
    <n v="8000"/>
  </r>
  <r>
    <n v="6"/>
    <x v="18"/>
    <x v="13"/>
    <s v="Put"/>
    <s v="Sold"/>
    <x v="1"/>
    <n v="240"/>
    <n v="1"/>
    <n v="4"/>
    <n v="1"/>
    <n v="379"/>
    <n v="377.95"/>
    <s v="Expired"/>
    <n v="378"/>
    <x v="96"/>
    <n v="144"/>
    <x v="11"/>
    <n v="24000"/>
  </r>
  <r>
    <n v="7"/>
    <x v="19"/>
    <x v="26"/>
    <s v="Put"/>
    <s v="Sold"/>
    <x v="9"/>
    <n v="103"/>
    <n v="1"/>
    <n v="3"/>
    <n v="1"/>
    <n v="258"/>
    <n v="257.29000000000002"/>
    <s v="Expired"/>
    <n v="257"/>
    <x v="97"/>
    <n v="37"/>
    <x v="4"/>
    <n v="10300"/>
  </r>
  <r>
    <n v="7"/>
    <x v="19"/>
    <x v="26"/>
    <s v="Put"/>
    <s v="Sold"/>
    <x v="9"/>
    <n v="103"/>
    <n v="1"/>
    <n v="3"/>
    <n v="1"/>
    <n v="258"/>
    <n v="256.94"/>
    <s v="Expired"/>
    <n v="257"/>
    <x v="98"/>
    <n v="37"/>
    <x v="4"/>
    <n v="10300"/>
  </r>
  <r>
    <n v="7"/>
    <x v="19"/>
    <x v="26"/>
    <s v="Put"/>
    <s v="Sold"/>
    <x v="9"/>
    <n v="103"/>
    <n v="1"/>
    <n v="3"/>
    <n v="0"/>
    <n v="258"/>
    <n v="257.64"/>
    <s v="Expired"/>
    <n v="258"/>
    <x v="99"/>
    <n v="37"/>
    <x v="4"/>
    <n v="10300"/>
  </r>
  <r>
    <n v="7"/>
    <x v="19"/>
    <x v="13"/>
    <s v="Put"/>
    <s v="Sold"/>
    <x v="9"/>
    <n v="215"/>
    <n v="1"/>
    <n v="3"/>
    <n v="1"/>
    <n v="343"/>
    <n v="341.95"/>
    <s v="Expired"/>
    <n v="342"/>
    <x v="100"/>
    <n v="23"/>
    <x v="4"/>
    <n v="21500"/>
  </r>
  <r>
    <n v="7"/>
    <x v="19"/>
    <x v="20"/>
    <s v="Put"/>
    <s v="Sold"/>
    <x v="9"/>
    <n v="28"/>
    <n v="2"/>
    <n v="0"/>
    <n v="1"/>
    <n v="94"/>
    <n v="92.59"/>
    <s v="Expired"/>
    <n v="93"/>
    <x v="101"/>
    <n v="25"/>
    <x v="4"/>
    <n v="5600"/>
  </r>
  <r>
    <n v="7"/>
    <x v="19"/>
    <x v="20"/>
    <s v="Put"/>
    <s v="Sold"/>
    <x v="9"/>
    <n v="28"/>
    <n v="1"/>
    <n v="0"/>
    <n v="1"/>
    <n v="47"/>
    <n v="46.3"/>
    <s v="Expired"/>
    <n v="46"/>
    <x v="102"/>
    <n v="25"/>
    <x v="4"/>
    <n v="2800"/>
  </r>
  <r>
    <n v="7"/>
    <x v="19"/>
    <x v="5"/>
    <s v="Put"/>
    <s v="Sold"/>
    <x v="9"/>
    <n v="15"/>
    <n v="1"/>
    <n v="0"/>
    <n v="0"/>
    <n v="30"/>
    <n v="29.65"/>
    <s v="Expired"/>
    <n v="30"/>
    <x v="103"/>
    <n v="29"/>
    <x v="4"/>
    <n v="1500"/>
  </r>
  <r>
    <n v="7"/>
    <x v="19"/>
    <x v="5"/>
    <s v="Put"/>
    <s v="Sold"/>
    <x v="9"/>
    <n v="15"/>
    <n v="1"/>
    <n v="0"/>
    <n v="1"/>
    <n v="30"/>
    <n v="28.95"/>
    <s v="Expired"/>
    <n v="29"/>
    <x v="104"/>
    <n v="29"/>
    <x v="4"/>
    <n v="1500"/>
  </r>
  <r>
    <n v="7"/>
    <x v="19"/>
    <x v="27"/>
    <s v="Put"/>
    <s v="Sold"/>
    <x v="9"/>
    <n v="60"/>
    <n v="1"/>
    <n v="3"/>
    <n v="0"/>
    <n v="280"/>
    <n v="279.64999999999998"/>
    <s v="Expired"/>
    <n v="280"/>
    <x v="105"/>
    <n v="68"/>
    <x v="4"/>
    <n v="6000"/>
  </r>
  <r>
    <n v="7"/>
    <x v="19"/>
    <x v="27"/>
    <s v="Put"/>
    <s v="Sold"/>
    <x v="9"/>
    <n v="60"/>
    <n v="1"/>
    <n v="3"/>
    <n v="1"/>
    <n v="280"/>
    <n v="278.95"/>
    <s v="Expired"/>
    <n v="279"/>
    <x v="106"/>
    <n v="68"/>
    <x v="4"/>
    <n v="6000"/>
  </r>
  <r>
    <n v="7"/>
    <x v="19"/>
    <x v="13"/>
    <s v="Put"/>
    <s v="Sold"/>
    <x v="9"/>
    <n v="210"/>
    <n v="2"/>
    <n v="3"/>
    <n v="-0.59"/>
    <n v="540"/>
    <n v="540.59"/>
    <s v="Expired"/>
    <n v="541"/>
    <x v="107"/>
    <n v="19"/>
    <x v="4"/>
    <n v="42000"/>
  </r>
  <r>
    <n v="7"/>
    <x v="19"/>
    <x v="2"/>
    <s v="Put"/>
    <s v="Sold"/>
    <x v="9"/>
    <n v="35"/>
    <n v="2"/>
    <n v="1"/>
    <n v="1"/>
    <n v="178"/>
    <n v="176.59"/>
    <s v="Assigned"/>
    <n v="177"/>
    <x v="108"/>
    <n v="37"/>
    <x v="4"/>
    <n v="7000"/>
  </r>
  <r>
    <n v="7"/>
    <x v="19"/>
    <x v="2"/>
    <s v="Put"/>
    <s v="Sold"/>
    <x v="9"/>
    <n v="35"/>
    <n v="1"/>
    <n v="1"/>
    <n v="-0.3"/>
    <n v="89"/>
    <n v="89.3"/>
    <s v="Assigned"/>
    <n v="89"/>
    <x v="109"/>
    <n v="37"/>
    <x v="4"/>
    <n v="3500"/>
  </r>
  <r>
    <n v="7"/>
    <x v="19"/>
    <x v="12"/>
    <s v="Put"/>
    <s v="Sold"/>
    <x v="9"/>
    <n v="38"/>
    <n v="1"/>
    <n v="1"/>
    <n v="0"/>
    <n v="87"/>
    <n v="86.65"/>
    <s v="Expired"/>
    <n v="87"/>
    <x v="110"/>
    <n v="33"/>
    <x v="4"/>
    <n v="3800"/>
  </r>
  <r>
    <n v="7"/>
    <x v="19"/>
    <x v="12"/>
    <s v="Put"/>
    <s v="Sold"/>
    <x v="9"/>
    <n v="38"/>
    <n v="2"/>
    <n v="1"/>
    <n v="1"/>
    <n v="174"/>
    <n v="172.59"/>
    <s v="Expired"/>
    <n v="173"/>
    <x v="111"/>
    <n v="33"/>
    <x v="4"/>
    <n v="7600"/>
  </r>
  <r>
    <n v="7"/>
    <x v="19"/>
    <x v="12"/>
    <s v="Put"/>
    <s v="Sold"/>
    <x v="9"/>
    <n v="38"/>
    <n v="1"/>
    <n v="1"/>
    <n v="1"/>
    <n v="87"/>
    <n v="85.95"/>
    <s v="Expired"/>
    <n v="86"/>
    <x v="112"/>
    <n v="33"/>
    <x v="4"/>
    <n v="3800"/>
  </r>
  <r>
    <n v="7"/>
    <x v="19"/>
    <x v="14"/>
    <s v="Put"/>
    <s v="Sold"/>
    <x v="9"/>
    <n v="135"/>
    <n v="1"/>
    <n v="2"/>
    <n v="1"/>
    <n v="169"/>
    <n v="167.95"/>
    <s v="Expired"/>
    <n v="168"/>
    <x v="113"/>
    <n v="18"/>
    <x v="4"/>
    <n v="13500"/>
  </r>
  <r>
    <n v="7"/>
    <x v="19"/>
    <x v="6"/>
    <s v="Put"/>
    <s v="Sold"/>
    <x v="9"/>
    <n v="36"/>
    <n v="1"/>
    <n v="1"/>
    <n v="1"/>
    <n v="122"/>
    <n v="120.95"/>
    <s v="Assigned"/>
    <n v="121"/>
    <x v="114"/>
    <n v="49"/>
    <x v="4"/>
    <n v="3600"/>
  </r>
  <r>
    <n v="7"/>
    <x v="19"/>
    <x v="6"/>
    <s v="Put"/>
    <s v="Sold"/>
    <x v="9"/>
    <n v="36"/>
    <n v="1"/>
    <n v="1"/>
    <n v="0"/>
    <n v="122"/>
    <n v="121.65"/>
    <s v="Assigned"/>
    <n v="122"/>
    <x v="115"/>
    <n v="49"/>
    <x v="4"/>
    <n v="3600"/>
  </r>
  <r>
    <n v="7"/>
    <x v="19"/>
    <x v="4"/>
    <s v="Put"/>
    <s v="Sold"/>
    <x v="9"/>
    <n v="80"/>
    <n v="1"/>
    <n v="1"/>
    <n v="1"/>
    <n v="128"/>
    <n v="126.95"/>
    <s v="Expired"/>
    <n v="127"/>
    <x v="116"/>
    <n v="23"/>
    <x v="4"/>
    <n v="8000"/>
  </r>
  <r>
    <n v="7"/>
    <x v="19"/>
    <x v="4"/>
    <s v="Put"/>
    <s v="Sold"/>
    <x v="9"/>
    <n v="80"/>
    <n v="1"/>
    <n v="1"/>
    <n v="0"/>
    <n v="128"/>
    <n v="127.65"/>
    <s v="Expired"/>
    <n v="128"/>
    <x v="117"/>
    <n v="23"/>
    <x v="4"/>
    <n v="8000"/>
  </r>
  <r>
    <n v="7"/>
    <x v="19"/>
    <x v="8"/>
    <s v="Put"/>
    <s v="Sold"/>
    <x v="9"/>
    <n v="240"/>
    <n v="1"/>
    <n v="2"/>
    <n v="1"/>
    <n v="202"/>
    <n v="201.3"/>
    <s v="Expired"/>
    <n v="201"/>
    <x v="118"/>
    <n v="12"/>
    <x v="4"/>
    <n v="24000"/>
  </r>
  <r>
    <n v="7"/>
    <x v="19"/>
    <x v="28"/>
    <s v="Put"/>
    <s v="Sold"/>
    <x v="9"/>
    <n v="95"/>
    <n v="1"/>
    <n v="1"/>
    <n v="1"/>
    <n v="138"/>
    <n v="136.94999999999999"/>
    <s v="Expired"/>
    <n v="137"/>
    <x v="119"/>
    <n v="21"/>
    <x v="4"/>
    <n v="9500"/>
  </r>
  <r>
    <n v="7"/>
    <x v="19"/>
    <x v="29"/>
    <s v="Put"/>
    <s v="Sold"/>
    <x v="9"/>
    <n v="18"/>
    <n v="4"/>
    <n v="1"/>
    <n v="-1.19"/>
    <n v="520"/>
    <n v="521.19000000000005"/>
    <s v="Expired"/>
    <n v="521"/>
    <x v="120"/>
    <n v="108"/>
    <x v="4"/>
    <n v="7200"/>
  </r>
  <r>
    <n v="7"/>
    <x v="19"/>
    <x v="0"/>
    <s v="Put"/>
    <s v="Sold"/>
    <x v="9"/>
    <n v="300"/>
    <n v="1"/>
    <n v="3"/>
    <n v="1"/>
    <n v="307"/>
    <n v="305.95"/>
    <s v="Expired"/>
    <n v="306"/>
    <x v="121"/>
    <n v="15"/>
    <x v="4"/>
    <n v="30000"/>
  </r>
  <r>
    <n v="7"/>
    <x v="19"/>
    <x v="30"/>
    <s v="Put"/>
    <s v="Sold"/>
    <x v="9"/>
    <n v="70"/>
    <n v="1"/>
    <n v="1"/>
    <n v="1"/>
    <n v="103"/>
    <n v="101.95"/>
    <s v="Expired"/>
    <n v="102"/>
    <x v="122"/>
    <n v="21"/>
    <x v="4"/>
    <n v="7000"/>
  </r>
  <r>
    <n v="7"/>
    <x v="19"/>
    <x v="30"/>
    <s v="Put"/>
    <s v="Sold"/>
    <x v="9"/>
    <n v="70"/>
    <n v="1"/>
    <n v="1"/>
    <n v="0"/>
    <n v="103"/>
    <n v="102.65"/>
    <s v="Expired"/>
    <n v="103"/>
    <x v="123"/>
    <n v="21"/>
    <x v="4"/>
    <n v="7000"/>
  </r>
  <r>
    <n v="7"/>
    <x v="19"/>
    <x v="26"/>
    <s v="Put"/>
    <s v="Sold"/>
    <x v="9"/>
    <n v="97"/>
    <n v="1"/>
    <n v="1"/>
    <n v="1"/>
    <n v="124"/>
    <n v="122.95"/>
    <s v="Expired"/>
    <n v="123"/>
    <x v="124"/>
    <n v="19"/>
    <x v="4"/>
    <n v="9700"/>
  </r>
  <r>
    <n v="7"/>
    <x v="19"/>
    <x v="26"/>
    <s v="Put"/>
    <s v="Sold"/>
    <x v="9"/>
    <n v="97"/>
    <n v="1"/>
    <n v="1"/>
    <n v="0"/>
    <n v="124"/>
    <n v="123.65"/>
    <s v="Expired"/>
    <n v="124"/>
    <x v="125"/>
    <n v="19"/>
    <x v="4"/>
    <n v="9700"/>
  </r>
  <r>
    <n v="7"/>
    <x v="19"/>
    <x v="26"/>
    <s v="Put"/>
    <s v="Sold"/>
    <x v="10"/>
    <n v="106"/>
    <n v="1"/>
    <n v="1"/>
    <n v="1"/>
    <n v="112"/>
    <n v="110.95"/>
    <s v="Expired"/>
    <n v="111"/>
    <x v="126"/>
    <n v="96"/>
    <x v="11"/>
    <n v="10600"/>
  </r>
  <r>
    <n v="7"/>
    <x v="19"/>
    <x v="18"/>
    <s v="Put"/>
    <s v="Sold"/>
    <x v="9"/>
    <n v="95"/>
    <n v="1"/>
    <n v="2"/>
    <n v="1"/>
    <n v="198"/>
    <n v="196.95"/>
    <s v="Expired"/>
    <n v="197"/>
    <x v="127"/>
    <n v="30"/>
    <x v="4"/>
    <n v="9500"/>
  </r>
  <r>
    <n v="7"/>
    <x v="19"/>
    <x v="18"/>
    <s v="Put"/>
    <s v="Sold"/>
    <x v="9"/>
    <n v="95"/>
    <n v="1"/>
    <n v="2"/>
    <n v="0"/>
    <n v="198"/>
    <n v="197.65"/>
    <s v="Expired"/>
    <n v="198"/>
    <x v="128"/>
    <n v="30"/>
    <x v="4"/>
    <n v="9500"/>
  </r>
  <r>
    <n v="8"/>
    <x v="20"/>
    <x v="14"/>
    <s v="Put"/>
    <s v="Sold"/>
    <x v="9"/>
    <n v="149"/>
    <n v="2"/>
    <n v="2"/>
    <n v="1"/>
    <n v="342"/>
    <n v="340.59"/>
    <s v="Expired"/>
    <n v="341"/>
    <x v="129"/>
    <n v="23"/>
    <x v="6"/>
    <n v="29800"/>
  </r>
  <r>
    <m/>
    <x v="21"/>
    <x v="31"/>
    <s v="Stock"/>
    <s v="Assigned in"/>
    <x v="0"/>
    <m/>
    <n v="100"/>
    <n v="18"/>
    <n v="0"/>
    <n v="-1750"/>
    <n v="-1750"/>
    <s v="Assigned; closed"/>
    <m/>
    <x v="0"/>
    <m/>
    <x v="0"/>
    <n v="0"/>
  </r>
  <r>
    <m/>
    <x v="22"/>
    <x v="16"/>
    <s v="Stock"/>
    <s v="Assigned in"/>
    <x v="0"/>
    <m/>
    <n v="300"/>
    <n v="90"/>
    <n v="0"/>
    <n v="-27000"/>
    <n v="-27000"/>
    <s v="Assigned; closed"/>
    <m/>
    <x v="0"/>
    <m/>
    <x v="0"/>
    <n v="0"/>
  </r>
  <r>
    <m/>
    <x v="22"/>
    <x v="31"/>
    <s v="Stock"/>
    <s v="Assigned in"/>
    <x v="0"/>
    <m/>
    <n v="300"/>
    <n v="18"/>
    <n v="0"/>
    <n v="-5250"/>
    <n v="-5250"/>
    <s v="Assigned; closed"/>
    <m/>
    <x v="0"/>
    <m/>
    <x v="0"/>
    <n v="0"/>
  </r>
  <r>
    <m/>
    <x v="22"/>
    <x v="32"/>
    <s v="Stock"/>
    <s v="Assigned in"/>
    <x v="0"/>
    <m/>
    <n v="200"/>
    <n v="90"/>
    <n v="0"/>
    <n v="-18000"/>
    <n v="-18000"/>
    <s v="Assigned; closed"/>
    <m/>
    <x v="0"/>
    <m/>
    <x v="0"/>
    <n v="0"/>
  </r>
  <r>
    <m/>
    <x v="23"/>
    <x v="18"/>
    <s v="Stock"/>
    <s v="Assigned in"/>
    <x v="0"/>
    <m/>
    <n v="200"/>
    <n v="90"/>
    <n v="0"/>
    <n v="-18000"/>
    <n v="-18000"/>
    <s v="Assigned; closed"/>
    <m/>
    <x v="0"/>
    <m/>
    <x v="0"/>
    <n v="0"/>
  </r>
  <r>
    <m/>
    <x v="24"/>
    <x v="33"/>
    <s v="Stock"/>
    <s v="Assigned in"/>
    <x v="0"/>
    <m/>
    <n v="500"/>
    <n v="10"/>
    <n v="0"/>
    <n v="-5000"/>
    <n v="-5000"/>
    <s v="Assigned"/>
    <m/>
    <x v="0"/>
    <m/>
    <x v="0"/>
    <n v="0"/>
  </r>
  <r>
    <m/>
    <x v="25"/>
    <x v="5"/>
    <s v="Stock"/>
    <s v="Assigned in"/>
    <x v="0"/>
    <m/>
    <n v="400"/>
    <n v="20"/>
    <n v="0"/>
    <n v="-8000"/>
    <n v="-8000"/>
    <s v="Assigned"/>
    <m/>
    <x v="0"/>
    <m/>
    <x v="0"/>
    <n v="0"/>
  </r>
  <r>
    <m/>
    <x v="26"/>
    <x v="5"/>
    <s v="Stock"/>
    <s v="Called away"/>
    <x v="0"/>
    <m/>
    <n v="1.2"/>
    <n v="20"/>
    <n v="1"/>
    <n v="24000"/>
    <n v="23999.27"/>
    <s v="Called away"/>
    <m/>
    <x v="0"/>
    <m/>
    <x v="0"/>
    <n v="0"/>
  </r>
  <r>
    <m/>
    <x v="27"/>
    <x v="34"/>
    <s v="Stock"/>
    <s v="Assigned in"/>
    <x v="0"/>
    <m/>
    <n v="200"/>
    <n v="30"/>
    <n v="0"/>
    <n v="-6000"/>
    <n v="-6000"/>
    <s v="Assigned"/>
    <m/>
    <x v="0"/>
    <m/>
    <x v="0"/>
    <n v="0"/>
  </r>
  <r>
    <m/>
    <x v="28"/>
    <x v="34"/>
    <s v="Stock"/>
    <s v="Assigned in"/>
    <x v="0"/>
    <m/>
    <n v="100"/>
    <n v="30"/>
    <n v="0"/>
    <n v="-3000"/>
    <n v="-3000"/>
    <s v="Assigned"/>
    <m/>
    <x v="0"/>
    <m/>
    <x v="0"/>
    <n v="0"/>
  </r>
  <r>
    <m/>
    <x v="29"/>
    <x v="24"/>
    <s v="Stock"/>
    <s v="Assigned in"/>
    <x v="0"/>
    <m/>
    <n v="100"/>
    <n v="180"/>
    <n v="0"/>
    <n v="-18000"/>
    <n v="-18000"/>
    <s v="Assigned; closed"/>
    <m/>
    <x v="0"/>
    <m/>
    <x v="0"/>
    <n v="0"/>
  </r>
  <r>
    <m/>
    <x v="29"/>
    <x v="18"/>
    <s v="Stock"/>
    <s v="Called away"/>
    <x v="0"/>
    <m/>
    <n v="200"/>
    <n v="90"/>
    <n v="0"/>
    <n v="18000"/>
    <n v="17999.59"/>
    <s v="Called away"/>
    <m/>
    <x v="0"/>
    <m/>
    <x v="0"/>
    <n v="0"/>
  </r>
  <r>
    <m/>
    <x v="29"/>
    <x v="34"/>
    <s v="Stock"/>
    <s v="Assigned in"/>
    <x v="0"/>
    <m/>
    <n v="100"/>
    <n v="30"/>
    <n v="0"/>
    <n v="-3000"/>
    <n v="-3000"/>
    <s v="Assigned"/>
    <m/>
    <x v="0"/>
    <m/>
    <x v="0"/>
    <n v="0"/>
  </r>
  <r>
    <m/>
    <x v="29"/>
    <x v="35"/>
    <s v="Stock"/>
    <s v="Assigned in"/>
    <x v="0"/>
    <m/>
    <n v="400"/>
    <n v="63"/>
    <n v="0"/>
    <n v="-25000"/>
    <n v="-25000"/>
    <s v="Assigned"/>
    <m/>
    <x v="0"/>
    <m/>
    <x v="0"/>
    <n v="0"/>
  </r>
  <r>
    <m/>
    <x v="30"/>
    <x v="24"/>
    <s v="Stock"/>
    <s v="Called away"/>
    <x v="0"/>
    <m/>
    <n v="100"/>
    <n v="180"/>
    <n v="0"/>
    <n v="18000"/>
    <n v="17999.61"/>
    <s v="Called away"/>
    <m/>
    <x v="0"/>
    <m/>
    <x v="0"/>
    <n v="0"/>
  </r>
  <r>
    <m/>
    <x v="30"/>
    <x v="13"/>
    <s v="Stock"/>
    <s v="Assigned in"/>
    <x v="0"/>
    <m/>
    <n v="100"/>
    <n v="395"/>
    <n v="0"/>
    <n v="-39500"/>
    <n v="-39500"/>
    <s v="Assigned"/>
    <m/>
    <x v="0"/>
    <m/>
    <x v="0"/>
    <n v="0"/>
  </r>
  <r>
    <m/>
    <x v="31"/>
    <x v="36"/>
    <s v="Put"/>
    <s v="Sold"/>
    <x v="11"/>
    <n v="148"/>
    <n v="1"/>
    <n v="15"/>
    <n v="1"/>
    <n v="1494"/>
    <n v="1492.92"/>
    <s v="Assigned"/>
    <n v="1493"/>
    <x v="130"/>
    <n v="246"/>
    <x v="13"/>
    <n v="14800"/>
  </r>
  <r>
    <m/>
    <x v="32"/>
    <x v="37"/>
    <s v="Stock"/>
    <s v="Assigned in"/>
    <x v="0"/>
    <m/>
    <n v="200"/>
    <n v="180"/>
    <n v="0"/>
    <n v="-36000"/>
    <n v="-36000"/>
    <s v="Assigned; closed"/>
    <m/>
    <x v="0"/>
    <m/>
    <x v="0"/>
    <n v="0"/>
  </r>
  <r>
    <m/>
    <x v="33"/>
    <x v="38"/>
    <s v="Stock"/>
    <s v="Assigned in"/>
    <x v="0"/>
    <m/>
    <n v="100"/>
    <n v="135"/>
    <n v="0"/>
    <n v="-13500"/>
    <n v="-13500"/>
    <s v="Assigned"/>
    <m/>
    <x v="0"/>
    <m/>
    <x v="0"/>
    <n v="0"/>
  </r>
  <r>
    <m/>
    <x v="34"/>
    <x v="39"/>
    <s v="Stock"/>
    <s v="Assigned in"/>
    <x v="0"/>
    <m/>
    <n v="200"/>
    <n v="60"/>
    <n v="0"/>
    <n v="-12000"/>
    <n v="-12000"/>
    <s v="Assigned"/>
    <m/>
    <x v="0"/>
    <m/>
    <x v="0"/>
    <n v="0"/>
  </r>
  <r>
    <m/>
    <x v="34"/>
    <x v="40"/>
    <s v="Stock"/>
    <s v="Assigned in"/>
    <x v="0"/>
    <m/>
    <n v="400"/>
    <n v="115"/>
    <n v="0"/>
    <n v="-46000"/>
    <n v="-46000"/>
    <s v="Assigned"/>
    <m/>
    <x v="0"/>
    <m/>
    <x v="0"/>
    <n v="0"/>
  </r>
  <r>
    <m/>
    <x v="34"/>
    <x v="38"/>
    <s v="Stock"/>
    <s v="Assigned in"/>
    <x v="0"/>
    <m/>
    <n v="200"/>
    <n v="125"/>
    <n v="0"/>
    <n v="-25000"/>
    <n v="-25000"/>
    <s v="Assigned"/>
    <m/>
    <x v="0"/>
    <m/>
    <x v="0"/>
    <n v="0"/>
  </r>
  <r>
    <n v="60"/>
    <x v="35"/>
    <x v="37"/>
    <s v="Put"/>
    <s v="Sold"/>
    <x v="12"/>
    <n v="200"/>
    <n v="1"/>
    <n v="3"/>
    <n v="1"/>
    <n v="275"/>
    <n v="273.94"/>
    <s v="Open"/>
    <n v="274"/>
    <x v="131"/>
    <n v="125"/>
    <x v="11"/>
    <n v="20000"/>
  </r>
  <r>
    <n v="33"/>
    <x v="36"/>
    <x v="41"/>
    <s v="Put"/>
    <s v="Sold"/>
    <x v="13"/>
    <n v="165"/>
    <n v="2"/>
    <n v="1"/>
    <n v="1"/>
    <n v="294"/>
    <n v="292.58999999999997"/>
    <s v="Expired"/>
    <n v="293"/>
    <x v="132"/>
    <n v="46"/>
    <x v="2"/>
    <n v="33000"/>
  </r>
  <r>
    <n v="33"/>
    <x v="36"/>
    <x v="41"/>
    <s v="Put"/>
    <s v="Sold"/>
    <x v="13"/>
    <n v="165"/>
    <n v="2"/>
    <n v="1"/>
    <n v="1"/>
    <n v="294"/>
    <n v="292.58999999999997"/>
    <s v="Expired"/>
    <n v="293"/>
    <x v="132"/>
    <n v="46"/>
    <x v="2"/>
    <n v="33000"/>
  </r>
  <r>
    <n v="34"/>
    <x v="37"/>
    <x v="42"/>
    <s v="Put"/>
    <s v="Sold"/>
    <x v="13"/>
    <n v="155"/>
    <n v="1"/>
    <n v="1"/>
    <n v="1"/>
    <n v="63"/>
    <n v="62.29"/>
    <s v="Expired"/>
    <n v="62"/>
    <x v="133"/>
    <n v="49"/>
    <x v="14"/>
    <n v="15500"/>
  </r>
  <r>
    <n v="34"/>
    <x v="37"/>
    <x v="42"/>
    <s v="Put"/>
    <s v="Sold"/>
    <x v="13"/>
    <n v="155"/>
    <n v="3"/>
    <n v="1"/>
    <n v="2"/>
    <n v="192"/>
    <n v="189.88"/>
    <s v="Expired"/>
    <n v="190"/>
    <x v="134"/>
    <n v="50"/>
    <x v="14"/>
    <n v="46500"/>
  </r>
  <r>
    <n v="35"/>
    <x v="38"/>
    <x v="43"/>
    <s v="Put"/>
    <s v="Sold"/>
    <x v="14"/>
    <n v="130"/>
    <n v="2"/>
    <n v="1"/>
    <n v="1"/>
    <n v="252"/>
    <n v="250.59"/>
    <s v="Expired"/>
    <n v="251"/>
    <x v="135"/>
    <n v="14"/>
    <x v="4"/>
    <n v="26000"/>
  </r>
  <r>
    <n v="35"/>
    <x v="38"/>
    <x v="43"/>
    <s v="Put"/>
    <s v="Sold"/>
    <x v="14"/>
    <n v="130"/>
    <n v="2"/>
    <n v="1"/>
    <n v="1"/>
    <n v="252"/>
    <n v="250.59"/>
    <s v="Expired"/>
    <n v="251"/>
    <x v="135"/>
    <n v="14"/>
    <x v="4"/>
    <n v="26000"/>
  </r>
  <r>
    <n v="35"/>
    <x v="38"/>
    <x v="44"/>
    <s v="Put"/>
    <s v="Sold"/>
    <x v="14"/>
    <n v="530"/>
    <n v="1"/>
    <n v="13"/>
    <n v="1"/>
    <n v="1301"/>
    <n v="1299.92"/>
    <s v="Expired"/>
    <n v="13"/>
    <x v="136"/>
    <n v="36"/>
    <x v="4"/>
    <n v="53000"/>
  </r>
  <r>
    <n v="35"/>
    <x v="38"/>
    <x v="13"/>
    <s v="Put"/>
    <s v="Sold"/>
    <x v="14"/>
    <n v="320"/>
    <n v="1"/>
    <n v="7"/>
    <n v="1"/>
    <n v="700"/>
    <n v="698.93"/>
    <s v="Expired"/>
    <n v="699"/>
    <x v="137"/>
    <n v="32"/>
    <x v="4"/>
    <n v="32000"/>
  </r>
  <r>
    <n v="35"/>
    <x v="38"/>
    <x v="24"/>
    <s v="Put"/>
    <s v="Sold"/>
    <x v="14"/>
    <n v="130"/>
    <n v="4"/>
    <n v="3"/>
    <n v="3"/>
    <n v="1240"/>
    <n v="1237.17"/>
    <s v="Expired"/>
    <n v="1237"/>
    <x v="138"/>
    <n v="35"/>
    <x v="4"/>
    <n v="52000"/>
  </r>
  <r>
    <n v="35"/>
    <x v="38"/>
    <x v="17"/>
    <s v="Put"/>
    <s v="Sold"/>
    <x v="14"/>
    <n v="95"/>
    <n v="4"/>
    <n v="2"/>
    <n v="3"/>
    <n v="816"/>
    <n v="813.18"/>
    <s v="Expired"/>
    <n v="813"/>
    <x v="139"/>
    <n v="31"/>
    <x v="4"/>
    <n v="38000"/>
  </r>
  <r>
    <n v="35"/>
    <x v="38"/>
    <x v="10"/>
    <s v="Put"/>
    <s v="Sold"/>
    <x v="14"/>
    <n v="710"/>
    <n v="1"/>
    <n v="28"/>
    <n v="1"/>
    <n v="2818"/>
    <n v="2816.89"/>
    <s v="Expired"/>
    <n v="2817"/>
    <x v="140"/>
    <n v="58"/>
    <x v="4"/>
    <n v="71000"/>
  </r>
  <r>
    <n v="35"/>
    <x v="38"/>
    <x v="14"/>
    <s v="Put"/>
    <s v="Sold"/>
    <x v="14"/>
    <n v="370"/>
    <n v="1"/>
    <n v="6"/>
    <n v="1"/>
    <n v="646"/>
    <n v="644.94000000000005"/>
    <s v="Expired"/>
    <n v="645"/>
    <x v="141"/>
    <n v="25"/>
    <x v="4"/>
    <n v="37000"/>
  </r>
  <r>
    <n v="35"/>
    <x v="38"/>
    <x v="14"/>
    <s v="Put"/>
    <s v="Sold"/>
    <x v="14"/>
    <n v="370"/>
    <n v="1"/>
    <n v="6"/>
    <n v="0"/>
    <n v="646"/>
    <n v="645.64"/>
    <s v="Expired"/>
    <n v="646"/>
    <x v="142"/>
    <n v="25"/>
    <x v="4"/>
    <n v="37000"/>
  </r>
  <r>
    <n v="36"/>
    <x v="39"/>
    <x v="32"/>
    <s v="Stock"/>
    <s v="Sold shares"/>
    <x v="0"/>
    <m/>
    <n v="200"/>
    <n v="52"/>
    <n v="1"/>
    <n v="10380"/>
    <n v="10378.75"/>
    <s v="Closed"/>
    <m/>
    <x v="0"/>
    <m/>
    <x v="0"/>
    <n v="0"/>
  </r>
  <r>
    <n v="36"/>
    <x v="39"/>
    <x v="16"/>
    <s v="Call"/>
    <s v="Sold"/>
    <x v="14"/>
    <n v="90"/>
    <n v="1"/>
    <n v="5"/>
    <n v="1"/>
    <n v="495"/>
    <n v="493.94"/>
    <s v="Expired"/>
    <n v="494"/>
    <x v="143"/>
    <m/>
    <x v="15"/>
    <n v="9000"/>
  </r>
  <r>
    <n v="36"/>
    <x v="39"/>
    <x v="16"/>
    <s v="Call"/>
    <s v="Sold"/>
    <x v="14"/>
    <n v="90"/>
    <n v="2"/>
    <n v="5"/>
    <n v="1"/>
    <n v="990"/>
    <n v="988.92"/>
    <s v="Expired"/>
    <n v="989"/>
    <x v="144"/>
    <m/>
    <x v="15"/>
    <n v="18000"/>
  </r>
  <r>
    <n v="36"/>
    <x v="39"/>
    <x v="18"/>
    <s v="Call"/>
    <s v="Sold"/>
    <x v="14"/>
    <n v="90"/>
    <n v="2"/>
    <n v="3"/>
    <n v="-0.68"/>
    <n v="616"/>
    <n v="616.67999999999995"/>
    <s v="Assigned"/>
    <n v="617"/>
    <x v="145"/>
    <m/>
    <x v="15"/>
    <n v="18000"/>
  </r>
  <r>
    <n v="37"/>
    <x v="40"/>
    <x v="13"/>
    <s v="Put"/>
    <s v="Sold"/>
    <x v="14"/>
    <n v="330"/>
    <n v="1"/>
    <n v="12"/>
    <n v="1"/>
    <n v="1164"/>
    <n v="1162.92"/>
    <s v="Expired"/>
    <n v="1163"/>
    <x v="146"/>
    <n v="76"/>
    <x v="16"/>
    <n v="33000"/>
  </r>
  <r>
    <n v="38"/>
    <x v="41"/>
    <x v="42"/>
    <s v="Put"/>
    <s v="Sold"/>
    <x v="14"/>
    <n v="145"/>
    <n v="1"/>
    <n v="4"/>
    <n v="1"/>
    <n v="392"/>
    <n v="390.94"/>
    <s v="Expired"/>
    <n v="391"/>
    <x v="147"/>
    <n v="66"/>
    <x v="13"/>
    <n v="14500"/>
  </r>
  <r>
    <n v="38"/>
    <x v="41"/>
    <x v="42"/>
    <s v="Put"/>
    <s v="Sold"/>
    <x v="14"/>
    <n v="145"/>
    <n v="1"/>
    <n v="4"/>
    <n v="0"/>
    <n v="392"/>
    <n v="391.64"/>
    <s v="Expired"/>
    <n v="392"/>
    <x v="148"/>
    <n v="66"/>
    <x v="13"/>
    <n v="14500"/>
  </r>
  <r>
    <n v="55"/>
    <x v="42"/>
    <x v="38"/>
    <s v="Put"/>
    <s v="Sold"/>
    <x v="15"/>
    <n v="135"/>
    <n v="1"/>
    <n v="3"/>
    <n v="1"/>
    <n v="257"/>
    <n v="255.96"/>
    <s v="Assigned"/>
    <n v="256"/>
    <x v="149"/>
    <n v="46"/>
    <x v="13"/>
    <n v="13500"/>
  </r>
  <r>
    <n v="56"/>
    <x v="43"/>
    <x v="40"/>
    <s v="Put"/>
    <s v="Sold"/>
    <x v="15"/>
    <n v="115"/>
    <n v="2"/>
    <n v="1"/>
    <n v="1"/>
    <n v="214"/>
    <n v="212.62"/>
    <s v="Assigned"/>
    <n v="213"/>
    <x v="150"/>
    <n v="113"/>
    <x v="0"/>
    <n v="23000"/>
  </r>
  <r>
    <n v="56"/>
    <x v="43"/>
    <x v="40"/>
    <s v="Put"/>
    <s v="Sold"/>
    <x v="15"/>
    <n v="115"/>
    <n v="2"/>
    <n v="1"/>
    <n v="1"/>
    <n v="214"/>
    <n v="212.62"/>
    <s v="Assigned"/>
    <n v="213"/>
    <x v="150"/>
    <n v="113"/>
    <x v="14"/>
    <n v="23000"/>
  </r>
  <r>
    <n v="56"/>
    <x v="43"/>
    <x v="45"/>
    <s v="Put"/>
    <s v="Sold"/>
    <x v="15"/>
    <n v="70"/>
    <n v="4"/>
    <n v="0"/>
    <n v="3"/>
    <n v="188"/>
    <n v="185.25"/>
    <s v="Expired"/>
    <n v="185"/>
    <x v="151"/>
    <n v="82"/>
    <x v="14"/>
    <n v="28000"/>
  </r>
  <r>
    <n v="57"/>
    <x v="34"/>
    <x v="38"/>
    <s v="Call"/>
    <s v="Sold"/>
    <x v="12"/>
    <n v="135"/>
    <n v="1"/>
    <n v="4"/>
    <n v="1"/>
    <n v="356"/>
    <n v="354.96"/>
    <s v="Open"/>
    <n v="355"/>
    <x v="152"/>
    <m/>
    <x v="17"/>
    <n v="13500"/>
  </r>
  <r>
    <n v="58"/>
    <x v="44"/>
    <x v="14"/>
    <s v="Put"/>
    <s v="Sold"/>
    <x v="12"/>
    <n v="760"/>
    <n v="1"/>
    <n v="11"/>
    <n v="1"/>
    <n v="1147"/>
    <n v="1146.1300000000001"/>
    <s v="Open"/>
    <n v="1146"/>
    <x v="153"/>
    <n v="22"/>
    <x v="4"/>
    <n v="76000"/>
  </r>
  <r>
    <n v="58"/>
    <x v="44"/>
    <x v="46"/>
    <s v="Put"/>
    <s v="Sold"/>
    <x v="12"/>
    <n v="80"/>
    <n v="2"/>
    <n v="1"/>
    <n v="1"/>
    <n v="146"/>
    <n v="144.62"/>
    <s v="Open"/>
    <n v="145"/>
    <x v="154"/>
    <n v="13"/>
    <x v="4"/>
    <n v="16000"/>
  </r>
  <r>
    <n v="58"/>
    <x v="44"/>
    <x v="47"/>
    <s v="Put"/>
    <s v="Sold"/>
    <x v="12"/>
    <n v="39"/>
    <n v="2"/>
    <n v="1"/>
    <n v="1"/>
    <n v="174"/>
    <n v="172.62"/>
    <s v="Open"/>
    <n v="173"/>
    <x v="155"/>
    <n v="33"/>
    <x v="4"/>
    <n v="7800"/>
  </r>
  <r>
    <n v="58"/>
    <x v="44"/>
    <x v="47"/>
    <s v="Put"/>
    <s v="Sold"/>
    <x v="12"/>
    <n v="39"/>
    <n v="2"/>
    <n v="1"/>
    <n v="1"/>
    <n v="174"/>
    <n v="172.62"/>
    <s v="Open"/>
    <n v="173"/>
    <x v="155"/>
    <n v="33"/>
    <x v="4"/>
    <n v="7800"/>
  </r>
  <r>
    <n v="58"/>
    <x v="44"/>
    <x v="48"/>
    <s v="Put"/>
    <s v="Sold"/>
    <x v="12"/>
    <n v="220"/>
    <n v="2"/>
    <n v="2"/>
    <n v="1"/>
    <n v="394"/>
    <n v="392.6"/>
    <s v="Open"/>
    <n v="393"/>
    <x v="156"/>
    <n v="13"/>
    <x v="4"/>
    <n v="44000"/>
  </r>
  <r>
    <n v="58"/>
    <x v="44"/>
    <x v="49"/>
    <s v="Put"/>
    <s v="Sold"/>
    <x v="12"/>
    <n v="195"/>
    <n v="1"/>
    <n v="4"/>
    <n v="1"/>
    <n v="363"/>
    <n v="361.95"/>
    <s v="Open"/>
    <n v="362"/>
    <x v="157"/>
    <n v="27"/>
    <x v="4"/>
    <n v="19500"/>
  </r>
  <r>
    <n v="58"/>
    <x v="44"/>
    <x v="49"/>
    <s v="Put"/>
    <s v="Sold"/>
    <x v="12"/>
    <n v="195"/>
    <n v="1"/>
    <n v="4"/>
    <n v="0"/>
    <n v="363"/>
    <n v="362.65"/>
    <s v="Open"/>
    <n v="363"/>
    <x v="158"/>
    <n v="27"/>
    <x v="4"/>
    <n v="19500"/>
  </r>
  <r>
    <n v="58"/>
    <x v="44"/>
    <x v="35"/>
    <s v="Put"/>
    <s v="Sold"/>
    <x v="12"/>
    <n v="58"/>
    <n v="1"/>
    <n v="1"/>
    <n v="1"/>
    <n v="69"/>
    <n v="67.959999999999994"/>
    <s v="Open"/>
    <n v="68"/>
    <x v="159"/>
    <n v="18"/>
    <x v="4"/>
    <n v="5800"/>
  </r>
  <r>
    <n v="58"/>
    <x v="44"/>
    <x v="35"/>
    <s v="Put"/>
    <s v="Sold"/>
    <x v="12"/>
    <n v="58"/>
    <n v="1"/>
    <n v="1"/>
    <n v="0"/>
    <n v="69"/>
    <n v="68.66"/>
    <s v="Open"/>
    <n v="69"/>
    <x v="160"/>
    <n v="18"/>
    <x v="4"/>
    <n v="5800"/>
  </r>
  <r>
    <n v="58"/>
    <x v="44"/>
    <x v="43"/>
    <s v="Put"/>
    <s v="Sold"/>
    <x v="12"/>
    <n v="220"/>
    <n v="1"/>
    <n v="2"/>
    <n v="1"/>
    <n v="204"/>
    <n v="202.95"/>
    <s v="Open"/>
    <n v="203"/>
    <x v="161"/>
    <n v="14"/>
    <x v="4"/>
    <n v="22000"/>
  </r>
  <r>
    <n v="58"/>
    <x v="44"/>
    <x v="43"/>
    <s v="Put"/>
    <s v="Sold"/>
    <x v="12"/>
    <n v="220"/>
    <n v="1"/>
    <n v="2"/>
    <n v="0"/>
    <n v="204"/>
    <n v="203.65"/>
    <s v="Open"/>
    <n v="204"/>
    <x v="162"/>
    <n v="14"/>
    <x v="4"/>
    <n v="22000"/>
  </r>
  <r>
    <n v="58"/>
    <x v="44"/>
    <x v="50"/>
    <s v="Put"/>
    <s v="Sold"/>
    <x v="12"/>
    <n v="60"/>
    <n v="2"/>
    <n v="1"/>
    <n v="1"/>
    <n v="166"/>
    <n v="164.62"/>
    <s v="Open"/>
    <n v="165"/>
    <x v="163"/>
    <n v="20"/>
    <x v="4"/>
    <n v="12000"/>
  </r>
  <r>
    <n v="58"/>
    <x v="44"/>
    <x v="51"/>
    <s v="Put"/>
    <s v="Sold"/>
    <x v="12"/>
    <n v="28"/>
    <n v="2"/>
    <n v="0"/>
    <n v="1"/>
    <n v="86"/>
    <n v="84.63"/>
    <s v="Open"/>
    <n v="85"/>
    <x v="164"/>
    <n v="23"/>
    <x v="4"/>
    <n v="5600"/>
  </r>
  <r>
    <n v="58"/>
    <x v="44"/>
    <x v="51"/>
    <s v="Put"/>
    <s v="Sold"/>
    <x v="12"/>
    <n v="28"/>
    <n v="2"/>
    <n v="0"/>
    <n v="1"/>
    <n v="86"/>
    <n v="84.63"/>
    <s v="Open"/>
    <n v="85"/>
    <x v="164"/>
    <n v="23"/>
    <x v="4"/>
    <n v="5600"/>
  </r>
  <r>
    <n v="58"/>
    <x v="44"/>
    <x v="52"/>
    <s v="Call"/>
    <s v="Sold"/>
    <x v="12"/>
    <n v="10"/>
    <n v="4"/>
    <n v="0"/>
    <n v="2"/>
    <n v="28"/>
    <n v="25.85"/>
    <s v="Open"/>
    <n v="26"/>
    <x v="165"/>
    <m/>
    <x v="4"/>
    <n v="4000"/>
  </r>
  <r>
    <n v="58"/>
    <x v="44"/>
    <x v="52"/>
    <s v="Call"/>
    <s v="Sold"/>
    <x v="12"/>
    <n v="10"/>
    <n v="2"/>
    <n v="0"/>
    <n v="1"/>
    <n v="14"/>
    <n v="12.93"/>
    <s v="Open"/>
    <n v="13"/>
    <x v="166"/>
    <m/>
    <x v="4"/>
    <n v="2000"/>
  </r>
  <r>
    <n v="58"/>
    <x v="44"/>
    <x v="52"/>
    <s v="Call"/>
    <s v="Sold"/>
    <x v="12"/>
    <n v="10"/>
    <n v="2"/>
    <n v="0"/>
    <n v="1"/>
    <n v="14"/>
    <n v="12.93"/>
    <s v="Open"/>
    <n v="13"/>
    <x v="166"/>
    <m/>
    <x v="4"/>
    <n v="2000"/>
  </r>
  <r>
    <n v="58"/>
    <x v="44"/>
    <x v="52"/>
    <s v="Call"/>
    <s v="Sold"/>
    <x v="12"/>
    <n v="10"/>
    <n v="2"/>
    <n v="0"/>
    <n v="1"/>
    <n v="14"/>
    <n v="12.93"/>
    <s v="Open"/>
    <n v="13"/>
    <x v="166"/>
    <m/>
    <x v="4"/>
    <n v="2000"/>
  </r>
  <r>
    <n v="58"/>
    <x v="44"/>
    <x v="13"/>
    <s v="Call"/>
    <s v="Sold"/>
    <x v="12"/>
    <n v="380"/>
    <n v="1"/>
    <n v="2"/>
    <n v="1"/>
    <n v="183"/>
    <n v="181.96"/>
    <s v="Open"/>
    <n v="182"/>
    <x v="167"/>
    <m/>
    <x v="4"/>
    <n v="38000"/>
  </r>
  <r>
    <n v="58"/>
    <x v="44"/>
    <x v="14"/>
    <s v="Call"/>
    <s v="Sold"/>
    <x v="12"/>
    <n v="1"/>
    <n v="1"/>
    <n v="25"/>
    <n v="1"/>
    <n v="2530"/>
    <n v="2528.91"/>
    <s v="Open"/>
    <n v="2529"/>
    <x v="168"/>
    <m/>
    <x v="4"/>
    <n v="100"/>
  </r>
  <r>
    <n v="58"/>
    <x v="44"/>
    <x v="38"/>
    <s v="Call"/>
    <s v="Sold"/>
    <x v="12"/>
    <n v="125"/>
    <n v="2"/>
    <n v="7"/>
    <n v="1"/>
    <n v="1368"/>
    <n v="1366.6"/>
    <s v="Open"/>
    <n v="1367"/>
    <x v="169"/>
    <m/>
    <x v="4"/>
    <n v="25000"/>
  </r>
  <r>
    <n v="58"/>
    <x v="44"/>
    <x v="39"/>
    <s v="Call"/>
    <s v="Sold"/>
    <x v="12"/>
    <n v="60"/>
    <n v="1"/>
    <n v="2"/>
    <n v="1"/>
    <n v="211"/>
    <n v="209.95"/>
    <s v="Open"/>
    <n v="210"/>
    <x v="170"/>
    <m/>
    <x v="4"/>
    <n v="6000"/>
  </r>
  <r>
    <n v="58"/>
    <x v="44"/>
    <x v="39"/>
    <s v="Call"/>
    <s v="Sold"/>
    <x v="12"/>
    <n v="60"/>
    <n v="1"/>
    <n v="2"/>
    <n v="0"/>
    <n v="210"/>
    <n v="209.65"/>
    <s v="Open"/>
    <n v="210"/>
    <x v="171"/>
    <m/>
    <x v="4"/>
    <n v="6000"/>
  </r>
  <r>
    <n v="58"/>
    <x v="44"/>
    <x v="40"/>
    <s v="Call"/>
    <s v="Sold"/>
    <x v="12"/>
    <n v="115"/>
    <n v="2"/>
    <n v="4"/>
    <n v="1"/>
    <n v="728"/>
    <n v="726.61"/>
    <s v="Open"/>
    <n v="727"/>
    <x v="172"/>
    <m/>
    <x v="4"/>
    <n v="23000"/>
  </r>
  <r>
    <n v="58"/>
    <x v="44"/>
    <x v="40"/>
    <s v="Call"/>
    <s v="Sold"/>
    <x v="12"/>
    <n v="115"/>
    <n v="2"/>
    <n v="4"/>
    <n v="1"/>
    <n v="728"/>
    <n v="726.61"/>
    <s v="Open"/>
    <n v="727"/>
    <x v="172"/>
    <m/>
    <x v="4"/>
    <n v="23000"/>
  </r>
  <r>
    <n v="23"/>
    <x v="45"/>
    <x v="17"/>
    <s v="Put"/>
    <s v="Sold"/>
    <x v="7"/>
    <n v="85"/>
    <n v="2"/>
    <n v="2"/>
    <n v="1"/>
    <n v="368"/>
    <n v="366.6"/>
    <s v="Expired"/>
    <n v="367"/>
    <x v="173"/>
    <n v="44"/>
    <x v="6"/>
    <n v="17000"/>
  </r>
  <r>
    <n v="23"/>
    <x v="45"/>
    <x v="17"/>
    <s v="Put"/>
    <s v="Sold"/>
    <x v="7"/>
    <n v="85"/>
    <n v="2"/>
    <n v="2"/>
    <n v="1"/>
    <n v="368"/>
    <n v="366.6"/>
    <s v="Expired"/>
    <n v="367"/>
    <x v="173"/>
    <n v="44"/>
    <x v="6"/>
    <n v="17000"/>
  </r>
  <r>
    <n v="24"/>
    <x v="46"/>
    <x v="10"/>
    <s v="Put"/>
    <s v="Sold"/>
    <x v="7"/>
    <n v="380"/>
    <n v="1"/>
    <n v="8"/>
    <n v="1"/>
    <n v="835"/>
    <n v="833.95"/>
    <s v="Closed"/>
    <n v="834"/>
    <x v="174"/>
    <n v="50"/>
    <x v="10"/>
    <n v="38000"/>
  </r>
  <r>
    <n v="24"/>
    <x v="46"/>
    <x v="10"/>
    <s v="Put"/>
    <s v="Bought"/>
    <x v="7"/>
    <n v="250"/>
    <n v="1"/>
    <n v="0"/>
    <n v="1"/>
    <n v="-14"/>
    <n v="-15.05"/>
    <s v="Closed"/>
    <n v="-15.05"/>
    <x v="175"/>
    <m/>
    <x v="10"/>
    <n v="25000"/>
  </r>
  <r>
    <n v="24"/>
    <x v="46"/>
    <x v="10"/>
    <s v="Put"/>
    <s v="Bought"/>
    <x v="7"/>
    <n v="250"/>
    <n v="1"/>
    <n v="0"/>
    <n v="0"/>
    <n v="-14"/>
    <n v="-14.35"/>
    <s v="Closed"/>
    <n v="-14.35"/>
    <x v="176"/>
    <m/>
    <x v="10"/>
    <n v="25000"/>
  </r>
  <r>
    <n v="25"/>
    <x v="47"/>
    <x v="32"/>
    <s v="Put"/>
    <s v="Sold"/>
    <x v="7"/>
    <n v="90"/>
    <n v="2"/>
    <n v="2"/>
    <n v="1"/>
    <n v="388"/>
    <n v="386.6"/>
    <s v="Assigned"/>
    <n v="387"/>
    <x v="177"/>
    <n v="79"/>
    <x v="18"/>
    <n v="18000"/>
  </r>
  <r>
    <n v="26"/>
    <x v="48"/>
    <x v="6"/>
    <s v="Stock"/>
    <s v="Sold shares"/>
    <x v="0"/>
    <m/>
    <n v="200"/>
    <n v="13"/>
    <n v="0"/>
    <n v="2566"/>
    <n v="2565.8000000000002"/>
    <s v="Closed"/>
    <m/>
    <x v="0"/>
    <m/>
    <x v="0"/>
    <n v="0"/>
  </r>
  <r>
    <n v="27"/>
    <x v="49"/>
    <x v="10"/>
    <s v="Put"/>
    <s v="Sold"/>
    <x v="7"/>
    <n v="550"/>
    <n v="1"/>
    <n v="12"/>
    <n v="1"/>
    <n v="1170"/>
    <n v="1168.95"/>
    <s v="Expired"/>
    <n v="1169"/>
    <x v="178"/>
    <n v="259"/>
    <x v="14"/>
    <n v="55000"/>
  </r>
  <r>
    <n v="27"/>
    <x v="49"/>
    <x v="10"/>
    <s v="Put"/>
    <s v="Bought"/>
    <x v="7"/>
    <n v="380"/>
    <n v="1"/>
    <n v="0"/>
    <n v="1"/>
    <n v="-24"/>
    <n v="-25.05"/>
    <s v="Closed"/>
    <n v="-25.05"/>
    <x v="179"/>
    <m/>
    <x v="14"/>
    <n v="38000"/>
  </r>
  <r>
    <n v="28"/>
    <x v="50"/>
    <x v="14"/>
    <s v="Put"/>
    <s v="Sold"/>
    <x v="7"/>
    <n v="380"/>
    <n v="1"/>
    <n v="3"/>
    <n v="1"/>
    <n v="280"/>
    <n v="278.95"/>
    <s v="Expired"/>
    <n v="279"/>
    <x v="180"/>
    <n v="134"/>
    <x v="19"/>
    <n v="38000"/>
  </r>
  <r>
    <n v="28"/>
    <x v="50"/>
    <x v="14"/>
    <s v="Put"/>
    <s v="Bought"/>
    <x v="7"/>
    <n v="290"/>
    <n v="1"/>
    <n v="0"/>
    <n v="1"/>
    <n v="-4"/>
    <n v="-5.05"/>
    <s v="Closed"/>
    <n v="-5.05"/>
    <x v="181"/>
    <m/>
    <x v="19"/>
    <n v="29000"/>
  </r>
  <r>
    <n v="28"/>
    <x v="50"/>
    <x v="14"/>
    <s v="Put"/>
    <s v="Bought"/>
    <x v="7"/>
    <n v="290"/>
    <n v="1"/>
    <n v="0"/>
    <n v="0"/>
    <n v="-4"/>
    <n v="-4.05"/>
    <s v="Closed"/>
    <n v="-4.05"/>
    <x v="182"/>
    <m/>
    <x v="19"/>
    <n v="29000"/>
  </r>
  <r>
    <n v="29"/>
    <x v="51"/>
    <x v="16"/>
    <s v="Call"/>
    <s v="Sold"/>
    <x v="5"/>
    <n v="90"/>
    <n v="1"/>
    <n v="1"/>
    <n v="1"/>
    <n v="143"/>
    <n v="142.30000000000001"/>
    <s v="Expired"/>
    <n v="142"/>
    <x v="183"/>
    <m/>
    <x v="4"/>
    <n v="9000"/>
  </r>
  <r>
    <n v="29"/>
    <x v="51"/>
    <x v="16"/>
    <s v="Call"/>
    <s v="Sold"/>
    <x v="5"/>
    <n v="90"/>
    <n v="2"/>
    <n v="1"/>
    <n v="1"/>
    <n v="286"/>
    <n v="284.60000000000002"/>
    <s v="Expired"/>
    <n v="285"/>
    <x v="183"/>
    <m/>
    <x v="4"/>
    <n v="18000"/>
  </r>
  <r>
    <n v="29"/>
    <x v="51"/>
    <x v="53"/>
    <s v="Put"/>
    <s v="Sold"/>
    <x v="5"/>
    <n v="190"/>
    <n v="2"/>
    <n v="3"/>
    <n v="1"/>
    <n v="610"/>
    <n v="608.6"/>
    <s v="Expired"/>
    <n v="609"/>
    <x v="184"/>
    <n v="23"/>
    <x v="4"/>
    <n v="38000"/>
  </r>
  <r>
    <n v="29"/>
    <x v="51"/>
    <x v="54"/>
    <s v="Put"/>
    <s v="Sold"/>
    <x v="5"/>
    <n v="155"/>
    <n v="2"/>
    <n v="1"/>
    <n v="1"/>
    <n v="276"/>
    <n v="275.16000000000003"/>
    <s v="Closed"/>
    <n v="275"/>
    <x v="185"/>
    <n v="13"/>
    <x v="4"/>
    <n v="31000"/>
  </r>
  <r>
    <n v="29"/>
    <x v="51"/>
    <x v="18"/>
    <s v="Put"/>
    <s v="Sold"/>
    <x v="5"/>
    <n v="90"/>
    <n v="2"/>
    <n v="2"/>
    <n v="1"/>
    <n v="452"/>
    <n v="450.59"/>
    <s v="Assigned"/>
    <n v="451"/>
    <x v="186"/>
    <n v="37"/>
    <x v="4"/>
    <n v="18000"/>
  </r>
  <r>
    <n v="29"/>
    <x v="51"/>
    <x v="55"/>
    <s v="Put"/>
    <s v="Sold"/>
    <x v="5"/>
    <n v="250"/>
    <n v="1"/>
    <n v="7"/>
    <n v="1"/>
    <n v="689"/>
    <n v="687.95"/>
    <s v="Expired"/>
    <n v="688"/>
    <x v="187"/>
    <n v="40"/>
    <x v="4"/>
    <n v="25000"/>
  </r>
  <r>
    <n v="29"/>
    <x v="51"/>
    <x v="56"/>
    <s v="Put"/>
    <s v="Sold"/>
    <x v="5"/>
    <n v="100"/>
    <n v="1"/>
    <n v="2"/>
    <n v="1"/>
    <n v="162"/>
    <n v="160.94999999999999"/>
    <s v="Closed"/>
    <n v="161"/>
    <x v="188"/>
    <n v="24"/>
    <x v="4"/>
    <n v="10000"/>
  </r>
  <r>
    <n v="29"/>
    <x v="51"/>
    <x v="56"/>
    <s v="Put"/>
    <s v="Sold"/>
    <x v="5"/>
    <n v="100"/>
    <n v="1"/>
    <n v="2"/>
    <n v="0"/>
    <n v="162"/>
    <n v="161.65"/>
    <s v="Closed"/>
    <n v="162"/>
    <x v="189"/>
    <n v="24"/>
    <x v="4"/>
    <n v="10000"/>
  </r>
  <r>
    <n v="29"/>
    <x v="51"/>
    <x v="13"/>
    <s v="Put"/>
    <s v="Sold"/>
    <x v="5"/>
    <n v="230"/>
    <n v="1"/>
    <n v="3"/>
    <n v="1"/>
    <n v="341"/>
    <n v="339.95"/>
    <s v="Expired"/>
    <n v="340"/>
    <x v="190"/>
    <n v="22"/>
    <x v="4"/>
    <n v="23000"/>
  </r>
  <r>
    <n v="29"/>
    <x v="51"/>
    <x v="13"/>
    <s v="Put"/>
    <s v="Sold"/>
    <x v="5"/>
    <n v="230"/>
    <n v="1"/>
    <n v="3"/>
    <n v="0"/>
    <n v="341"/>
    <n v="340.65"/>
    <s v="Expired"/>
    <n v="341"/>
    <x v="191"/>
    <n v="22"/>
    <x v="4"/>
    <n v="23000"/>
  </r>
  <r>
    <n v="29"/>
    <x v="51"/>
    <x v="5"/>
    <s v="Put"/>
    <s v="Sold"/>
    <x v="5"/>
    <n v="20"/>
    <n v="2"/>
    <n v="0"/>
    <n v="1"/>
    <n v="90"/>
    <n v="88.95"/>
    <s v="Assigned"/>
    <n v="89"/>
    <x v="192"/>
    <n v="33"/>
    <x v="4"/>
    <n v="4000"/>
  </r>
  <r>
    <n v="29"/>
    <x v="51"/>
    <x v="5"/>
    <s v="Put"/>
    <s v="Sold"/>
    <x v="5"/>
    <n v="20"/>
    <n v="1"/>
    <n v="0"/>
    <n v="0"/>
    <n v="45"/>
    <n v="44.95"/>
    <s v="Assigned"/>
    <n v="45"/>
    <x v="193"/>
    <n v="33"/>
    <x v="4"/>
    <n v="2000"/>
  </r>
  <r>
    <n v="29"/>
    <x v="51"/>
    <x v="5"/>
    <s v="Put"/>
    <s v="Sold"/>
    <x v="5"/>
    <n v="20"/>
    <n v="1"/>
    <n v="0"/>
    <n v="-0.3"/>
    <n v="45"/>
    <n v="45.3"/>
    <s v="Assigned"/>
    <n v="45"/>
    <x v="194"/>
    <n v="33"/>
    <x v="4"/>
    <n v="2000"/>
  </r>
  <r>
    <n v="29"/>
    <x v="51"/>
    <x v="24"/>
    <s v="Put"/>
    <s v="Sold"/>
    <x v="5"/>
    <n v="95"/>
    <n v="2"/>
    <n v="3"/>
    <n v="1"/>
    <n v="598"/>
    <n v="596.6"/>
    <s v="Expired"/>
    <n v="597"/>
    <x v="195"/>
    <n v="46"/>
    <x v="4"/>
    <n v="19000"/>
  </r>
  <r>
    <n v="29"/>
    <x v="51"/>
    <x v="57"/>
    <s v="Put"/>
    <s v="Sold"/>
    <x v="5"/>
    <n v="40"/>
    <n v="2"/>
    <n v="1"/>
    <n v="1"/>
    <n v="196"/>
    <n v="194.6"/>
    <s v="Expired"/>
    <n v="195"/>
    <x v="196"/>
    <n v="36"/>
    <x v="4"/>
    <n v="8000"/>
  </r>
  <r>
    <n v="29"/>
    <x v="51"/>
    <x v="57"/>
    <s v="Put"/>
    <s v="Sold"/>
    <x v="5"/>
    <n v="40"/>
    <n v="2"/>
    <n v="1"/>
    <n v="1"/>
    <n v="186"/>
    <n v="184.6"/>
    <s v="Expired"/>
    <n v="185"/>
    <x v="197"/>
    <n v="34"/>
    <x v="4"/>
    <n v="8000"/>
  </r>
  <r>
    <n v="29"/>
    <x v="51"/>
    <x v="33"/>
    <s v="Put"/>
    <s v="Sold"/>
    <x v="5"/>
    <n v="10"/>
    <n v="5"/>
    <n v="0"/>
    <n v="4"/>
    <n v="110"/>
    <n v="106.49"/>
    <s v="Assigned"/>
    <n v="106"/>
    <x v="198"/>
    <n v="32"/>
    <x v="4"/>
    <n v="5000"/>
  </r>
  <r>
    <n v="29"/>
    <x v="51"/>
    <x v="10"/>
    <s v="Put"/>
    <s v="Sold"/>
    <x v="5"/>
    <n v="510"/>
    <n v="1"/>
    <n v="17"/>
    <n v="1"/>
    <n v="1699"/>
    <n v="1697.95"/>
    <s v="Expired"/>
    <n v="1698"/>
    <x v="199"/>
    <n v="49"/>
    <x v="4"/>
    <n v="51000"/>
  </r>
  <r>
    <n v="29"/>
    <x v="51"/>
    <x v="14"/>
    <s v="Put"/>
    <s v="Sold"/>
    <x v="5"/>
    <n v="330"/>
    <n v="1"/>
    <n v="5"/>
    <n v="1"/>
    <n v="534"/>
    <n v="532.95000000000005"/>
    <s v="Closed"/>
    <n v="533"/>
    <x v="200"/>
    <n v="24"/>
    <x v="4"/>
    <n v="33000"/>
  </r>
  <r>
    <n v="29"/>
    <x v="51"/>
    <x v="14"/>
    <s v="Put"/>
    <s v="Sold"/>
    <x v="5"/>
    <n v="330"/>
    <n v="1"/>
    <n v="5"/>
    <n v="0"/>
    <n v="534"/>
    <n v="533.65"/>
    <s v="Closed"/>
    <n v="534"/>
    <x v="201"/>
    <n v="24"/>
    <x v="4"/>
    <n v="33000"/>
  </r>
  <r>
    <n v="30"/>
    <x v="52"/>
    <x v="57"/>
    <s v="Put"/>
    <s v="Sold"/>
    <x v="5"/>
    <n v="45"/>
    <n v="2"/>
    <n v="1"/>
    <n v="1"/>
    <n v="226"/>
    <n v="224.6"/>
    <s v="Expired"/>
    <n v="225"/>
    <x v="202"/>
    <n v="44"/>
    <x v="20"/>
    <n v="9000"/>
  </r>
  <r>
    <n v="30"/>
    <x v="52"/>
    <x v="57"/>
    <s v="Put"/>
    <s v="Sold"/>
    <x v="5"/>
    <n v="45"/>
    <n v="2"/>
    <n v="1"/>
    <n v="1"/>
    <n v="226"/>
    <n v="224.6"/>
    <s v="Expired"/>
    <n v="225"/>
    <x v="202"/>
    <n v="44"/>
    <x v="20"/>
    <n v="9000"/>
  </r>
  <r>
    <n v="30"/>
    <x v="52"/>
    <x v="56"/>
    <s v="Put"/>
    <s v="Bought"/>
    <x v="5"/>
    <n v="100"/>
    <n v="1"/>
    <n v="0"/>
    <n v="1"/>
    <n v="-13"/>
    <n v="-14.05"/>
    <s v="Closed"/>
    <n v="-14.05"/>
    <x v="203"/>
    <m/>
    <x v="20"/>
    <n v="10000"/>
  </r>
  <r>
    <n v="17"/>
    <x v="53"/>
    <x v="55"/>
    <s v="Put"/>
    <s v="Sold"/>
    <x v="4"/>
    <n v="225"/>
    <n v="1"/>
    <n v="3"/>
    <n v="1"/>
    <n v="283"/>
    <n v="281.95"/>
    <s v="Expired"/>
    <n v="282"/>
    <x v="204"/>
    <n v="46"/>
    <x v="18"/>
    <n v="22500"/>
  </r>
  <r>
    <n v="17"/>
    <x v="53"/>
    <x v="55"/>
    <s v="Put"/>
    <s v="Sold"/>
    <x v="4"/>
    <n v="225"/>
    <n v="1"/>
    <n v="3"/>
    <n v="0"/>
    <n v="283"/>
    <n v="282.64999999999998"/>
    <s v="Expired"/>
    <n v="283"/>
    <x v="205"/>
    <n v="46"/>
    <x v="18"/>
    <n v="22500"/>
  </r>
  <r>
    <n v="17"/>
    <x v="53"/>
    <x v="53"/>
    <s v="Put"/>
    <s v="Sold"/>
    <x v="4"/>
    <n v="173"/>
    <n v="1"/>
    <n v="2"/>
    <n v="-0.3"/>
    <n v="239"/>
    <n v="239.3"/>
    <s v="Expired"/>
    <n v="239"/>
    <x v="206"/>
    <n v="51"/>
    <x v="18"/>
    <n v="17300"/>
  </r>
  <r>
    <n v="17"/>
    <x v="53"/>
    <x v="53"/>
    <s v="Put"/>
    <s v="Sold"/>
    <x v="4"/>
    <n v="173"/>
    <n v="2"/>
    <n v="2"/>
    <n v="1"/>
    <n v="478"/>
    <n v="476.6"/>
    <s v="Expired"/>
    <n v="477"/>
    <x v="207"/>
    <n v="51"/>
    <x v="18"/>
    <n v="34600"/>
  </r>
  <r>
    <n v="17"/>
    <x v="53"/>
    <x v="54"/>
    <s v="Put"/>
    <s v="Sold"/>
    <x v="4"/>
    <n v="195"/>
    <n v="1"/>
    <n v="1"/>
    <n v="1"/>
    <n v="137"/>
    <n v="136.01"/>
    <s v="Expired"/>
    <n v="136"/>
    <x v="208"/>
    <n v="26"/>
    <x v="18"/>
    <n v="19500"/>
  </r>
  <r>
    <n v="17"/>
    <x v="53"/>
    <x v="54"/>
    <s v="Put"/>
    <s v="Sold"/>
    <x v="4"/>
    <n v="195"/>
    <n v="1"/>
    <n v="1"/>
    <n v="0"/>
    <n v="137"/>
    <n v="136.71"/>
    <s v="Expired"/>
    <n v="137"/>
    <x v="209"/>
    <n v="26"/>
    <x v="18"/>
    <n v="19500"/>
  </r>
  <r>
    <n v="17"/>
    <x v="53"/>
    <x v="54"/>
    <s v="Put"/>
    <s v="Sold"/>
    <x v="4"/>
    <n v="195"/>
    <n v="1"/>
    <n v="1"/>
    <n v="1"/>
    <n v="137"/>
    <n v="136.36000000000001"/>
    <s v="Expired"/>
    <n v="136"/>
    <x v="210"/>
    <n v="26"/>
    <x v="18"/>
    <n v="19500"/>
  </r>
  <r>
    <n v="18"/>
    <x v="54"/>
    <x v="4"/>
    <s v="Stock"/>
    <s v="Sold shares"/>
    <x v="0"/>
    <m/>
    <n v="135"/>
    <n v="75"/>
    <n v="1"/>
    <n v="10180.76"/>
    <n v="10179.84"/>
    <s v="Closed"/>
    <m/>
    <x v="0"/>
    <m/>
    <x v="0"/>
    <n v="0"/>
  </r>
  <r>
    <n v="18"/>
    <x v="54"/>
    <x v="4"/>
    <s v="Stock"/>
    <s v="Sold shares"/>
    <x v="0"/>
    <m/>
    <n v="265"/>
    <n v="75"/>
    <n v="2"/>
    <n v="19987.18"/>
    <n v="19985.36"/>
    <s v="Closed"/>
    <m/>
    <x v="0"/>
    <m/>
    <x v="0"/>
    <n v="0"/>
  </r>
  <r>
    <n v="18"/>
    <x v="54"/>
    <x v="4"/>
    <s v="Call"/>
    <s v="Bought"/>
    <x v="4"/>
    <n v="75"/>
    <n v="4"/>
    <n v="2"/>
    <n v="1"/>
    <n v="-808"/>
    <n v="-808.8"/>
    <s v="Closed"/>
    <n v="-808.8"/>
    <x v="211"/>
    <m/>
    <x v="21"/>
    <n v="30000"/>
  </r>
  <r>
    <n v="19"/>
    <x v="55"/>
    <x v="16"/>
    <s v="Put"/>
    <s v="Sold"/>
    <x v="7"/>
    <n v="90"/>
    <n v="3"/>
    <n v="1"/>
    <n v="2"/>
    <n v="339"/>
    <n v="336.89"/>
    <s v="Assigned"/>
    <n v="337"/>
    <x v="212"/>
    <n v="14"/>
    <x v="9"/>
    <n v="27000"/>
  </r>
  <r>
    <n v="19"/>
    <x v="55"/>
    <x v="17"/>
    <s v="Put"/>
    <s v="Sold"/>
    <x v="7"/>
    <n v="80"/>
    <n v="2"/>
    <n v="2"/>
    <n v="1"/>
    <n v="474"/>
    <n v="472.6"/>
    <s v="Closed"/>
    <n v="473"/>
    <x v="213"/>
    <n v="34"/>
    <x v="9"/>
    <n v="16000"/>
  </r>
  <r>
    <n v="19"/>
    <x v="55"/>
    <x v="17"/>
    <s v="Put"/>
    <s v="Sold"/>
    <x v="7"/>
    <n v="80"/>
    <n v="2"/>
    <n v="2"/>
    <n v="-0.6"/>
    <n v="474"/>
    <n v="474.6"/>
    <s v="Closed"/>
    <n v="475"/>
    <x v="214"/>
    <n v="34"/>
    <x v="9"/>
    <n v="16000"/>
  </r>
  <r>
    <n v="19"/>
    <x v="55"/>
    <x v="10"/>
    <s v="Put"/>
    <s v="Sold"/>
    <x v="7"/>
    <n v="250"/>
    <n v="1"/>
    <n v="11"/>
    <n v="1"/>
    <n v="1096"/>
    <n v="1094.95"/>
    <s v="Closed"/>
    <n v="1095"/>
    <x v="215"/>
    <n v="50"/>
    <x v="9"/>
    <n v="25000"/>
  </r>
  <r>
    <n v="19"/>
    <x v="55"/>
    <x v="10"/>
    <s v="Put"/>
    <s v="Sold"/>
    <x v="7"/>
    <n v="250"/>
    <n v="1"/>
    <n v="11"/>
    <n v="0"/>
    <n v="1096"/>
    <n v="1095.6500000000001"/>
    <s v="Closed"/>
    <n v="1096"/>
    <x v="216"/>
    <n v="50"/>
    <x v="9"/>
    <n v="25000"/>
  </r>
  <r>
    <n v="20"/>
    <x v="56"/>
    <x v="54"/>
    <s v="Put"/>
    <s v="Sold"/>
    <x v="7"/>
    <n v="190"/>
    <n v="2"/>
    <n v="2"/>
    <n v="1"/>
    <n v="456"/>
    <n v="455.3"/>
    <s v="Expired"/>
    <n v="455"/>
    <x v="217"/>
    <n v="14"/>
    <x v="1"/>
    <n v="38000"/>
  </r>
  <r>
    <n v="20"/>
    <x v="56"/>
    <x v="53"/>
    <s v="Put"/>
    <s v="Sold"/>
    <x v="7"/>
    <n v="155"/>
    <n v="4"/>
    <n v="5"/>
    <n v="3"/>
    <n v="2156"/>
    <n v="2153.1799999999998"/>
    <s v="Closed"/>
    <n v="2153"/>
    <x v="218"/>
    <n v="41"/>
    <x v="1"/>
    <n v="62000"/>
  </r>
  <r>
    <n v="20"/>
    <x v="56"/>
    <x v="12"/>
    <s v="Put"/>
    <s v="Sold"/>
    <x v="7"/>
    <n v="45"/>
    <n v="3"/>
    <n v="1"/>
    <n v="2"/>
    <n v="276"/>
    <n v="273.89"/>
    <s v="Expired"/>
    <n v="274"/>
    <x v="219"/>
    <n v="24"/>
    <x v="1"/>
    <n v="13500"/>
  </r>
  <r>
    <n v="20"/>
    <x v="56"/>
    <x v="12"/>
    <s v="Put"/>
    <s v="Sold"/>
    <x v="7"/>
    <n v="45"/>
    <n v="3"/>
    <n v="1"/>
    <n v="2"/>
    <n v="276"/>
    <n v="273.89"/>
    <s v="Expired"/>
    <n v="274"/>
    <x v="219"/>
    <n v="24"/>
    <x v="1"/>
    <n v="13500"/>
  </r>
  <r>
    <n v="20"/>
    <x v="56"/>
    <x v="24"/>
    <s v="Put"/>
    <s v="Sold"/>
    <x v="7"/>
    <n v="120"/>
    <n v="2"/>
    <n v="4"/>
    <n v="1"/>
    <n v="724"/>
    <n v="722.6"/>
    <s v="Expired"/>
    <n v="723"/>
    <x v="220"/>
    <n v="36"/>
    <x v="1"/>
    <n v="24000"/>
  </r>
  <r>
    <n v="20"/>
    <x v="56"/>
    <x v="24"/>
    <s v="Put"/>
    <s v="Sold"/>
    <x v="7"/>
    <n v="120"/>
    <n v="2"/>
    <n v="4"/>
    <n v="-0.6"/>
    <n v="724"/>
    <n v="724.6"/>
    <s v="Expired"/>
    <n v="725"/>
    <x v="221"/>
    <n v="36"/>
    <x v="1"/>
    <n v="24000"/>
  </r>
  <r>
    <n v="20"/>
    <x v="56"/>
    <x v="55"/>
    <s v="Put"/>
    <s v="Sold"/>
    <x v="16"/>
    <n v="218"/>
    <n v="3"/>
    <n v="0"/>
    <n v="-1.34"/>
    <n v="15"/>
    <n v="16.34"/>
    <s v="Expired"/>
    <n v="16"/>
    <x v="222"/>
    <n v="3"/>
    <x v="14"/>
    <n v="65400"/>
  </r>
  <r>
    <n v="20"/>
    <x v="56"/>
    <x v="31"/>
    <s v="Put"/>
    <s v="Sold"/>
    <x v="7"/>
    <n v="18"/>
    <n v="4"/>
    <n v="1"/>
    <n v="-1.39"/>
    <n v="356"/>
    <n v="357.39"/>
    <s v="Assigned"/>
    <n v="357"/>
    <x v="223"/>
    <n v="60"/>
    <x v="1"/>
    <n v="7200"/>
  </r>
  <r>
    <n v="20"/>
    <x v="56"/>
    <x v="58"/>
    <s v="Put"/>
    <s v="Sold"/>
    <x v="7"/>
    <n v="47"/>
    <n v="4"/>
    <n v="1"/>
    <n v="3"/>
    <n v="280"/>
    <n v="277.18"/>
    <s v="Expired"/>
    <n v="277"/>
    <x v="224"/>
    <n v="18"/>
    <x v="1"/>
    <n v="18800"/>
  </r>
  <r>
    <n v="20"/>
    <x v="56"/>
    <x v="42"/>
    <s v="Put"/>
    <s v="Sold"/>
    <x v="7"/>
    <n v="105"/>
    <n v="2"/>
    <n v="1"/>
    <n v="1"/>
    <n v="264"/>
    <n v="262.58999999999997"/>
    <s v="Closed"/>
    <n v="263"/>
    <x v="225"/>
    <n v="15"/>
    <x v="1"/>
    <n v="21000"/>
  </r>
  <r>
    <n v="20"/>
    <x v="56"/>
    <x v="42"/>
    <s v="Put"/>
    <s v="Sold"/>
    <x v="7"/>
    <n v="105"/>
    <n v="2"/>
    <n v="1"/>
    <n v="1"/>
    <n v="264"/>
    <n v="262.58999999999997"/>
    <s v="Closed"/>
    <n v="263"/>
    <x v="225"/>
    <n v="15"/>
    <x v="1"/>
    <n v="21000"/>
  </r>
  <r>
    <n v="20"/>
    <x v="56"/>
    <x v="15"/>
    <s v="Put"/>
    <s v="Sold"/>
    <x v="7"/>
    <n v="14"/>
    <n v="3"/>
    <n v="0"/>
    <n v="2"/>
    <n v="90"/>
    <n v="87.89"/>
    <s v="Expired"/>
    <n v="88"/>
    <x v="226"/>
    <n v="25"/>
    <x v="1"/>
    <n v="4200"/>
  </r>
  <r>
    <n v="20"/>
    <x v="56"/>
    <x v="15"/>
    <s v="Put"/>
    <s v="Sold"/>
    <x v="7"/>
    <n v="14"/>
    <n v="3"/>
    <n v="0"/>
    <n v="-0.89"/>
    <n v="90"/>
    <n v="90.89"/>
    <s v="Expired"/>
    <n v="91"/>
    <x v="227"/>
    <n v="25"/>
    <x v="1"/>
    <n v="4200"/>
  </r>
  <r>
    <n v="20"/>
    <x v="56"/>
    <x v="14"/>
    <s v="Put"/>
    <s v="Sold"/>
    <x v="7"/>
    <n v="290"/>
    <n v="1"/>
    <n v="3"/>
    <n v="1"/>
    <n v="303"/>
    <n v="301.95"/>
    <s v="Closed"/>
    <n v="302"/>
    <x v="228"/>
    <n v="12"/>
    <x v="1"/>
    <n v="29000"/>
  </r>
  <r>
    <n v="20"/>
    <x v="56"/>
    <x v="14"/>
    <s v="Put"/>
    <s v="Sold"/>
    <x v="7"/>
    <n v="290"/>
    <n v="1"/>
    <n v="3"/>
    <n v="0"/>
    <n v="303"/>
    <n v="302.64999999999998"/>
    <s v="Closed"/>
    <n v="303"/>
    <x v="229"/>
    <n v="12"/>
    <x v="1"/>
    <n v="29000"/>
  </r>
  <r>
    <n v="21"/>
    <x v="57"/>
    <x v="55"/>
    <s v="Put"/>
    <s v="Sold"/>
    <x v="7"/>
    <n v="190"/>
    <n v="3"/>
    <n v="3"/>
    <n v="2"/>
    <n v="894"/>
    <n v="891.89"/>
    <s v="Expired"/>
    <n v="892"/>
    <x v="230"/>
    <n v="23"/>
    <x v="4"/>
    <n v="57000"/>
  </r>
  <r>
    <n v="22"/>
    <x v="58"/>
    <x v="59"/>
    <s v="Put"/>
    <s v="Sold"/>
    <x v="7"/>
    <n v="47"/>
    <n v="3"/>
    <n v="2"/>
    <n v="2"/>
    <n v="513"/>
    <n v="510.89"/>
    <s v="Expired"/>
    <n v="511"/>
    <x v="231"/>
    <n v="55"/>
    <x v="15"/>
    <n v="14100"/>
  </r>
  <r>
    <n v="50"/>
    <x v="31"/>
    <x v="37"/>
    <s v="Put"/>
    <s v="Sold"/>
    <x v="11"/>
    <n v="180"/>
    <n v="2"/>
    <n v="6"/>
    <n v="1"/>
    <n v="1272"/>
    <n v="1270.5999999999999"/>
    <s v="Assigned"/>
    <n v="1271"/>
    <x v="232"/>
    <n v="86"/>
    <x v="13"/>
    <n v="36000"/>
  </r>
  <r>
    <n v="50"/>
    <x v="31"/>
    <x v="16"/>
    <s v="Stock"/>
    <s v="Sold shares"/>
    <x v="0"/>
    <m/>
    <n v="177"/>
    <n v="95"/>
    <n v="1"/>
    <n v="16727.8"/>
    <n v="16726.490000000002"/>
    <s v="Closed"/>
    <m/>
    <x v="0"/>
    <m/>
    <x v="0"/>
    <n v="0"/>
  </r>
  <r>
    <n v="50"/>
    <x v="31"/>
    <x v="16"/>
    <s v="Stock"/>
    <s v="Sold shares"/>
    <x v="0"/>
    <m/>
    <n v="123"/>
    <n v="95"/>
    <n v="1"/>
    <n v="11627.19"/>
    <n v="11626"/>
    <s v="Closed"/>
    <m/>
    <x v="0"/>
    <m/>
    <x v="0"/>
    <n v="0"/>
  </r>
  <r>
    <n v="51"/>
    <x v="59"/>
    <x v="13"/>
    <s v="Call"/>
    <s v="Sold"/>
    <x v="15"/>
    <n v="400"/>
    <n v="1"/>
    <n v="17"/>
    <n v="1"/>
    <n v="1680"/>
    <n v="1678.92"/>
    <s v="Expired"/>
    <n v="1679"/>
    <x v="233"/>
    <m/>
    <x v="22"/>
    <n v="40000"/>
  </r>
  <r>
    <n v="52"/>
    <x v="32"/>
    <x v="14"/>
    <s v="Call"/>
    <s v="Sold"/>
    <x v="15"/>
    <n v="1.01"/>
    <n v="1"/>
    <n v="43"/>
    <n v="1"/>
    <n v="4260"/>
    <n v="4258.87"/>
    <s v="Expired"/>
    <n v="4259"/>
    <x v="234"/>
    <m/>
    <x v="23"/>
    <n v="101"/>
  </r>
  <r>
    <n v="52"/>
    <x v="32"/>
    <x v="14"/>
    <s v="Stock"/>
    <s v="Assigned in"/>
    <x v="0"/>
    <m/>
    <n v="100"/>
    <s v="1,000.00"/>
    <n v="0"/>
    <n v="-100000"/>
    <n v="-100000"/>
    <s v="Assigned"/>
    <m/>
    <x v="0"/>
    <m/>
    <x v="0"/>
    <n v="0"/>
  </r>
  <r>
    <n v="53"/>
    <x v="60"/>
    <x v="0"/>
    <s v="Put"/>
    <s v="Sold"/>
    <x v="15"/>
    <n v="460"/>
    <n v="2"/>
    <n v="10"/>
    <n v="1"/>
    <n v="2058"/>
    <n v="2056.5700000000002"/>
    <s v="Expired"/>
    <n v="2057"/>
    <x v="235"/>
    <n v="26"/>
    <x v="9"/>
    <n v="92000"/>
  </r>
  <r>
    <n v="53"/>
    <x v="60"/>
    <x v="43"/>
    <s v="Put"/>
    <s v="Sold"/>
    <x v="15"/>
    <n v="195"/>
    <n v="2"/>
    <n v="4"/>
    <n v="1"/>
    <n v="812"/>
    <n v="810.6"/>
    <s v="Expired"/>
    <n v="811"/>
    <x v="236"/>
    <n v="24"/>
    <x v="9"/>
    <n v="39000"/>
  </r>
  <r>
    <n v="53"/>
    <x v="60"/>
    <x v="51"/>
    <s v="Put"/>
    <s v="Sold"/>
    <x v="15"/>
    <n v="23"/>
    <n v="1"/>
    <n v="1"/>
    <n v="1"/>
    <n v="63"/>
    <n v="61.96"/>
    <s v="Expired"/>
    <n v="62"/>
    <x v="237"/>
    <n v="31"/>
    <x v="9"/>
    <n v="2300"/>
  </r>
  <r>
    <n v="53"/>
    <x v="60"/>
    <x v="51"/>
    <s v="Put"/>
    <s v="Sold"/>
    <x v="15"/>
    <n v="23"/>
    <n v="1"/>
    <n v="1"/>
    <n v="0"/>
    <n v="63"/>
    <n v="62.66"/>
    <s v="Expired"/>
    <n v="63"/>
    <x v="238"/>
    <n v="31"/>
    <x v="9"/>
    <n v="2300"/>
  </r>
  <r>
    <n v="53"/>
    <x v="60"/>
    <x v="60"/>
    <s v="Put"/>
    <s v="Sold"/>
    <x v="15"/>
    <n v="40"/>
    <n v="1"/>
    <n v="2"/>
    <n v="1"/>
    <n v="186"/>
    <n v="184.96"/>
    <s v="Expired"/>
    <n v="185"/>
    <x v="239"/>
    <n v="53"/>
    <x v="9"/>
    <n v="4000"/>
  </r>
  <r>
    <n v="53"/>
    <x v="60"/>
    <x v="60"/>
    <s v="Put"/>
    <s v="Sold"/>
    <x v="15"/>
    <n v="40"/>
    <n v="1"/>
    <n v="2"/>
    <n v="0"/>
    <n v="186"/>
    <n v="185.66"/>
    <s v="Expired"/>
    <n v="186"/>
    <x v="240"/>
    <n v="53"/>
    <x v="9"/>
    <n v="4000"/>
  </r>
  <r>
    <n v="53"/>
    <x v="60"/>
    <x v="61"/>
    <s v="Put"/>
    <s v="Sold"/>
    <x v="15"/>
    <n v="57"/>
    <n v="1"/>
    <n v="0"/>
    <n v="1"/>
    <n v="42"/>
    <n v="40.96"/>
    <s v="Expired"/>
    <n v="41"/>
    <x v="241"/>
    <n v="8"/>
    <x v="9"/>
    <n v="5700"/>
  </r>
  <r>
    <n v="53"/>
    <x v="60"/>
    <x v="61"/>
    <s v="Put"/>
    <s v="Sold"/>
    <x v="15"/>
    <n v="57"/>
    <n v="1"/>
    <n v="0"/>
    <n v="0"/>
    <n v="42"/>
    <n v="41.66"/>
    <s v="Expired"/>
    <n v="42"/>
    <x v="242"/>
    <n v="8"/>
    <x v="9"/>
    <n v="5700"/>
  </r>
  <r>
    <n v="53"/>
    <x v="60"/>
    <x v="39"/>
    <s v="Put"/>
    <s v="Sold"/>
    <x v="15"/>
    <n v="60"/>
    <n v="2"/>
    <n v="1"/>
    <n v="1"/>
    <n v="210"/>
    <n v="208.61"/>
    <s v="Assigned"/>
    <n v="209"/>
    <x v="243"/>
    <n v="20"/>
    <x v="9"/>
    <n v="12000"/>
  </r>
  <r>
    <n v="53"/>
    <x v="60"/>
    <x v="62"/>
    <s v="Put"/>
    <s v="Sold"/>
    <x v="15"/>
    <n v="55"/>
    <n v="2"/>
    <n v="2"/>
    <n v="1"/>
    <n v="372"/>
    <n v="370.61"/>
    <s v="Expired"/>
    <n v="371"/>
    <x v="244"/>
    <n v="39"/>
    <x v="9"/>
    <n v="11000"/>
  </r>
  <r>
    <n v="53"/>
    <x v="60"/>
    <x v="50"/>
    <s v="Put"/>
    <s v="Sold"/>
    <x v="15"/>
    <n v="59"/>
    <n v="1"/>
    <n v="1"/>
    <n v="1"/>
    <n v="144"/>
    <n v="142.96"/>
    <s v="Expired"/>
    <n v="143"/>
    <x v="245"/>
    <n v="28"/>
    <x v="9"/>
    <n v="5900"/>
  </r>
  <r>
    <n v="53"/>
    <x v="60"/>
    <x v="50"/>
    <s v="Put"/>
    <s v="Sold"/>
    <x v="15"/>
    <n v="59"/>
    <n v="1"/>
    <n v="1"/>
    <n v="0"/>
    <n v="144"/>
    <n v="143.66"/>
    <s v="Expired"/>
    <n v="144"/>
    <x v="246"/>
    <n v="28"/>
    <x v="9"/>
    <n v="5900"/>
  </r>
  <r>
    <n v="53"/>
    <x v="60"/>
    <x v="38"/>
    <s v="Put"/>
    <s v="Sold"/>
    <x v="15"/>
    <n v="125"/>
    <n v="2"/>
    <n v="4"/>
    <n v="1"/>
    <n v="738"/>
    <n v="736.6"/>
    <s v="Assigned"/>
    <n v="737"/>
    <x v="247"/>
    <n v="34"/>
    <x v="9"/>
    <n v="25000"/>
  </r>
  <r>
    <n v="53"/>
    <x v="60"/>
    <x v="10"/>
    <s v="Put"/>
    <s v="Sold"/>
    <x v="15"/>
    <n v="540"/>
    <n v="1"/>
    <n v="15"/>
    <n v="1"/>
    <n v="1546"/>
    <n v="1544.92"/>
    <s v="Expired"/>
    <n v="1545"/>
    <x v="248"/>
    <n v="33"/>
    <x v="9"/>
    <n v="54000"/>
  </r>
  <r>
    <n v="53"/>
    <x v="60"/>
    <x v="37"/>
    <s v="Stock"/>
    <s v="Sold shares"/>
    <x v="0"/>
    <m/>
    <n v="75"/>
    <n v="182"/>
    <n v="0"/>
    <n v="13683"/>
    <n v="13682.7"/>
    <s v="Closed"/>
    <m/>
    <x v="0"/>
    <m/>
    <x v="0"/>
    <n v="0"/>
  </r>
  <r>
    <n v="53"/>
    <x v="60"/>
    <x v="37"/>
    <s v="Stock"/>
    <s v="Sold shares"/>
    <x v="0"/>
    <m/>
    <n v="25"/>
    <n v="182"/>
    <n v="0"/>
    <n v="4561"/>
    <n v="4560.8999999999996"/>
    <s v="Closed"/>
    <m/>
    <x v="0"/>
    <m/>
    <x v="0"/>
    <n v="0"/>
  </r>
  <r>
    <n v="53"/>
    <x v="60"/>
    <x v="37"/>
    <s v="Stock"/>
    <s v="Sold shares"/>
    <x v="0"/>
    <m/>
    <n v="100"/>
    <n v="182"/>
    <n v="1"/>
    <n v="18244.5"/>
    <n v="18243.099999999999"/>
    <s v="Closed"/>
    <m/>
    <x v="0"/>
    <m/>
    <x v="0"/>
    <n v="0"/>
  </r>
  <r>
    <n v="53"/>
    <x v="60"/>
    <x v="52"/>
    <s v="Call"/>
    <s v="Sold"/>
    <x v="15"/>
    <n v="10"/>
    <n v="5"/>
    <n v="1"/>
    <n v="4"/>
    <n v="320"/>
    <n v="316.49"/>
    <s v="Expired"/>
    <n v="316"/>
    <x v="249"/>
    <m/>
    <x v="9"/>
    <n v="5000"/>
  </r>
  <r>
    <n v="53"/>
    <x v="60"/>
    <x v="52"/>
    <s v="Call"/>
    <s v="Sold"/>
    <x v="15"/>
    <n v="10"/>
    <n v="5"/>
    <n v="1"/>
    <n v="4"/>
    <n v="320"/>
    <n v="316.49"/>
    <s v="Expired"/>
    <n v="316"/>
    <x v="249"/>
    <m/>
    <x v="9"/>
    <n v="5000"/>
  </r>
  <r>
    <n v="54"/>
    <x v="61"/>
    <x v="63"/>
    <s v="Put"/>
    <s v="Sold"/>
    <x v="15"/>
    <n v="137"/>
    <n v="1"/>
    <n v="1"/>
    <n v="1"/>
    <n v="120"/>
    <n v="118.96"/>
    <s v="Expired"/>
    <n v="119"/>
    <x v="250"/>
    <n v="10"/>
    <x v="1"/>
    <n v="13700"/>
  </r>
  <r>
    <n v="54"/>
    <x v="61"/>
    <x v="63"/>
    <s v="Put"/>
    <s v="Sold"/>
    <x v="15"/>
    <n v="137"/>
    <n v="1"/>
    <n v="1"/>
    <n v="0"/>
    <n v="120"/>
    <n v="119.66"/>
    <s v="Expired"/>
    <n v="120"/>
    <x v="251"/>
    <n v="10"/>
    <x v="1"/>
    <n v="13700"/>
  </r>
  <r>
    <n v="54"/>
    <x v="61"/>
    <x v="49"/>
    <s v="Put"/>
    <s v="Sold"/>
    <x v="15"/>
    <n v="185"/>
    <n v="1"/>
    <n v="3"/>
    <n v="1"/>
    <n v="268"/>
    <n v="266.95"/>
    <s v="Expired"/>
    <n v="267"/>
    <x v="252"/>
    <n v="17"/>
    <x v="1"/>
    <n v="18500"/>
  </r>
  <r>
    <n v="54"/>
    <x v="61"/>
    <x v="49"/>
    <s v="Put"/>
    <s v="Sold"/>
    <x v="15"/>
    <n v="185"/>
    <n v="1"/>
    <n v="3"/>
    <n v="0"/>
    <n v="268"/>
    <n v="267.64999999999998"/>
    <s v="Expired"/>
    <n v="268"/>
    <x v="253"/>
    <n v="17"/>
    <x v="1"/>
    <n v="18500"/>
  </r>
  <r>
    <n v="45"/>
    <x v="62"/>
    <x v="13"/>
    <s v="Put"/>
    <s v="Sold"/>
    <x v="17"/>
    <n v="395"/>
    <n v="1"/>
    <n v="8"/>
    <n v="1"/>
    <n v="774"/>
    <n v="772.93"/>
    <s v="Assigned"/>
    <n v="773"/>
    <x v="254"/>
    <n v="45"/>
    <x v="10"/>
    <n v="39500"/>
  </r>
  <r>
    <n v="46"/>
    <x v="30"/>
    <x v="16"/>
    <s v="Call"/>
    <s v="Sold"/>
    <x v="18"/>
    <n v="95"/>
    <n v="2"/>
    <n v="1"/>
    <n v="1"/>
    <n v="262"/>
    <n v="260.94"/>
    <s v="Expired"/>
    <n v="261"/>
    <x v="255"/>
    <m/>
    <x v="12"/>
    <n v="19000"/>
  </r>
  <r>
    <n v="46"/>
    <x v="30"/>
    <x v="16"/>
    <s v="Call"/>
    <s v="Sold"/>
    <x v="18"/>
    <n v="95"/>
    <n v="1"/>
    <n v="1"/>
    <n v="1"/>
    <n v="131"/>
    <n v="129.94999999999999"/>
    <s v="Expired"/>
    <n v="130"/>
    <x v="256"/>
    <m/>
    <x v="12"/>
    <n v="9500"/>
  </r>
  <r>
    <n v="47"/>
    <x v="63"/>
    <x v="10"/>
    <s v="Put"/>
    <s v="Sold"/>
    <x v="18"/>
    <n v="750"/>
    <n v="1"/>
    <n v="8"/>
    <n v="1"/>
    <n v="832"/>
    <n v="830.93"/>
    <s v="Expired"/>
    <n v="831"/>
    <x v="257"/>
    <n v="101"/>
    <x v="11"/>
    <n v="75000"/>
  </r>
  <r>
    <n v="47"/>
    <x v="63"/>
    <x v="14"/>
    <s v="Put"/>
    <s v="Sold"/>
    <x v="11"/>
    <n v="1"/>
    <n v="1"/>
    <n v="55"/>
    <n v="1"/>
    <n v="5452"/>
    <n v="5450.84"/>
    <s v="Assigned"/>
    <n v="5451"/>
    <x v="258"/>
    <n v="80"/>
    <x v="4"/>
    <n v="100"/>
  </r>
  <r>
    <n v="47"/>
    <x v="63"/>
    <x v="13"/>
    <s v="Call"/>
    <s v="Sold"/>
    <x v="11"/>
    <n v="400"/>
    <n v="1"/>
    <n v="17"/>
    <n v="1"/>
    <n v="1731"/>
    <n v="1729.91"/>
    <s v="Expired"/>
    <n v="173"/>
    <x v="259"/>
    <m/>
    <x v="4"/>
    <n v="40000"/>
  </r>
  <r>
    <n v="48"/>
    <x v="64"/>
    <x v="38"/>
    <s v="Put"/>
    <s v="Sold"/>
    <x v="11"/>
    <n v="130"/>
    <n v="1"/>
    <n v="2"/>
    <n v="1"/>
    <n v="179"/>
    <n v="177.94"/>
    <s v="Expired"/>
    <n v="178"/>
    <x v="260"/>
    <n v="23"/>
    <x v="24"/>
    <n v="13000"/>
  </r>
  <r>
    <n v="48"/>
    <x v="64"/>
    <x v="38"/>
    <s v="Put"/>
    <s v="Sold"/>
    <x v="11"/>
    <n v="130"/>
    <n v="1"/>
    <n v="2"/>
    <n v="0"/>
    <n v="179"/>
    <n v="178.64"/>
    <s v="Expired"/>
    <n v="179"/>
    <x v="261"/>
    <n v="23"/>
    <x v="24"/>
    <n v="13000"/>
  </r>
  <r>
    <n v="49"/>
    <x v="65"/>
    <x v="50"/>
    <s v="Put"/>
    <s v="Sold"/>
    <x v="11"/>
    <n v="60"/>
    <n v="4"/>
    <n v="1"/>
    <n v="2"/>
    <n v="452"/>
    <n v="450.18"/>
    <s v="Expired"/>
    <n v="450"/>
    <x v="262"/>
    <n v="38"/>
    <x v="6"/>
    <n v="24000"/>
  </r>
  <r>
    <n v="49"/>
    <x v="65"/>
    <x v="52"/>
    <s v="Put"/>
    <s v="Sold"/>
    <x v="11"/>
    <n v="10"/>
    <n v="10"/>
    <n v="0"/>
    <n v="7"/>
    <n v="170"/>
    <n v="162.96"/>
    <s v="Assigned"/>
    <n v="163"/>
    <x v="263"/>
    <n v="36"/>
    <x v="6"/>
    <n v="10000"/>
  </r>
  <r>
    <n v="49"/>
    <x v="65"/>
    <x v="10"/>
    <s v="Put"/>
    <s v="Sold"/>
    <x v="11"/>
    <n v="650"/>
    <n v="1"/>
    <n v="13"/>
    <n v="1"/>
    <n v="1318"/>
    <n v="1316.92"/>
    <s v="Expired"/>
    <n v="1317"/>
    <x v="264"/>
    <n v="41"/>
    <x v="6"/>
    <n v="65000"/>
  </r>
  <r>
    <n v="31"/>
    <x v="66"/>
    <x v="24"/>
    <s v="Put"/>
    <s v="Sold"/>
    <x v="5"/>
    <n v="100"/>
    <n v="1"/>
    <n v="1"/>
    <n v="1"/>
    <n v="113"/>
    <n v="111.95"/>
    <s v="Expired"/>
    <n v="112"/>
    <x v="265"/>
    <n v="103"/>
    <x v="11"/>
    <n v="10000"/>
  </r>
  <r>
    <n v="31"/>
    <x v="66"/>
    <x v="24"/>
    <s v="Put"/>
    <s v="Sold"/>
    <x v="5"/>
    <n v="100"/>
    <n v="1"/>
    <n v="1"/>
    <n v="0"/>
    <n v="113"/>
    <n v="112.65"/>
    <s v="Expired"/>
    <n v="113"/>
    <x v="266"/>
    <n v="103"/>
    <x v="11"/>
    <n v="10000"/>
  </r>
  <r>
    <n v="31"/>
    <x v="66"/>
    <x v="54"/>
    <s v="Put"/>
    <s v="Bought"/>
    <x v="5"/>
    <n v="155"/>
    <n v="1"/>
    <n v="0"/>
    <n v="1"/>
    <n v="-13"/>
    <n v="-14.05"/>
    <s v="Closed"/>
    <n v="-14.05"/>
    <x v="267"/>
    <m/>
    <x v="11"/>
    <n v="15500"/>
  </r>
  <r>
    <n v="31"/>
    <x v="66"/>
    <x v="54"/>
    <s v="Put"/>
    <s v="Bought"/>
    <x v="5"/>
    <n v="155"/>
    <n v="1"/>
    <n v="0"/>
    <n v="0"/>
    <n v="-13"/>
    <n v="-13.35"/>
    <s v="Closed"/>
    <n v="-13.35"/>
    <x v="268"/>
    <m/>
    <x v="11"/>
    <n v="15500"/>
  </r>
  <r>
    <n v="31"/>
    <x v="66"/>
    <x v="14"/>
    <s v="Put"/>
    <s v="Sold"/>
    <x v="5"/>
    <n v="365"/>
    <n v="1"/>
    <n v="2"/>
    <n v="1"/>
    <n v="170"/>
    <n v="168.95"/>
    <s v="Expired"/>
    <n v="169"/>
    <x v="269"/>
    <n v="43"/>
    <x v="11"/>
    <n v="36500"/>
  </r>
  <r>
    <n v="31"/>
    <x v="66"/>
    <x v="14"/>
    <s v="Put"/>
    <s v="Bought"/>
    <x v="5"/>
    <n v="330"/>
    <n v="2"/>
    <n v="0"/>
    <n v="1"/>
    <n v="-94"/>
    <n v="-95.4"/>
    <s v="Closed"/>
    <n v="-95.4"/>
    <x v="270"/>
    <m/>
    <x v="11"/>
    <n v="66000"/>
  </r>
  <r>
    <n v="32"/>
    <x v="67"/>
    <x v="13"/>
    <s v="Put"/>
    <s v="Sold"/>
    <x v="13"/>
    <n v="230"/>
    <n v="1"/>
    <n v="3"/>
    <n v="1"/>
    <n v="318"/>
    <n v="316.95"/>
    <s v="Expired"/>
    <n v="317"/>
    <x v="271"/>
    <n v="20"/>
    <x v="4"/>
    <n v="23000"/>
  </r>
  <r>
    <n v="32"/>
    <x v="67"/>
    <x v="13"/>
    <s v="Put"/>
    <s v="Sold"/>
    <x v="13"/>
    <n v="230"/>
    <n v="1"/>
    <n v="3"/>
    <n v="0"/>
    <n v="318"/>
    <n v="317.64999999999998"/>
    <s v="Expired"/>
    <n v="318"/>
    <x v="272"/>
    <n v="20"/>
    <x v="4"/>
    <n v="23000"/>
  </r>
  <r>
    <n v="32"/>
    <x v="67"/>
    <x v="44"/>
    <s v="Put"/>
    <s v="Sold"/>
    <x v="13"/>
    <n v="420"/>
    <n v="1"/>
    <n v="6"/>
    <n v="2"/>
    <n v="560"/>
    <n v="558.1"/>
    <s v="Expired"/>
    <n v="558"/>
    <x v="273"/>
    <n v="19"/>
    <x v="4"/>
    <n v="42000"/>
  </r>
  <r>
    <n v="32"/>
    <x v="67"/>
    <x v="24"/>
    <s v="Put"/>
    <s v="Sold"/>
    <x v="13"/>
    <n v="85"/>
    <n v="2"/>
    <n v="2"/>
    <n v="-0.6"/>
    <n v="320"/>
    <n v="320.60000000000002"/>
    <s v="Expired"/>
    <n v="321"/>
    <x v="274"/>
    <n v="27"/>
    <x v="4"/>
    <n v="17000"/>
  </r>
  <r>
    <n v="32"/>
    <x v="67"/>
    <x v="14"/>
    <s v="Put"/>
    <s v="Sold"/>
    <x v="13"/>
    <n v="330"/>
    <n v="2"/>
    <n v="3"/>
    <n v="1"/>
    <n v="680"/>
    <n v="678.6"/>
    <s v="Expired"/>
    <n v="679"/>
    <x v="275"/>
    <n v="15"/>
    <x v="4"/>
    <n v="66000"/>
  </r>
  <r>
    <n v="32"/>
    <x v="67"/>
    <x v="10"/>
    <s v="Put"/>
    <s v="Sold"/>
    <x v="13"/>
    <n v="570"/>
    <n v="1"/>
    <n v="13"/>
    <n v="0"/>
    <n v="1270"/>
    <n v="1269.95"/>
    <s v="Expired"/>
    <n v="127"/>
    <x v="276"/>
    <n v="33"/>
    <x v="4"/>
    <n v="57000"/>
  </r>
  <r>
    <n v="32"/>
    <x v="67"/>
    <x v="16"/>
    <s v="Call"/>
    <s v="Sold"/>
    <x v="13"/>
    <n v="90"/>
    <n v="2"/>
    <n v="2"/>
    <n v="1"/>
    <n v="322"/>
    <n v="320.60000000000002"/>
    <s v="Expired"/>
    <n v="321"/>
    <x v="277"/>
    <m/>
    <x v="4"/>
    <n v="18000"/>
  </r>
  <r>
    <n v="32"/>
    <x v="67"/>
    <x v="16"/>
    <s v="Call"/>
    <s v="Sold"/>
    <x v="13"/>
    <n v="90"/>
    <n v="1"/>
    <n v="2"/>
    <n v="1"/>
    <n v="161"/>
    <n v="160.30000000000001"/>
    <s v="Expired"/>
    <n v="160"/>
    <x v="277"/>
    <m/>
    <x v="4"/>
    <n v="9000"/>
  </r>
  <r>
    <n v="32"/>
    <x v="67"/>
    <x v="31"/>
    <s v="Stock"/>
    <s v="Sold shares"/>
    <x v="0"/>
    <m/>
    <n v="267"/>
    <n v="11"/>
    <n v="1"/>
    <n v="3027.78"/>
    <n v="3026.73"/>
    <s v="Closed"/>
    <m/>
    <x v="0"/>
    <m/>
    <x v="0"/>
    <n v="0"/>
  </r>
  <r>
    <n v="32"/>
    <x v="67"/>
    <x v="31"/>
    <s v="Stock"/>
    <s v="Sold shares"/>
    <x v="0"/>
    <m/>
    <n v="1"/>
    <n v="11"/>
    <n v="0"/>
    <n v="11.34"/>
    <n v="11.34"/>
    <s v="Closed"/>
    <m/>
    <x v="0"/>
    <m/>
    <x v="0"/>
    <n v="0"/>
  </r>
  <r>
    <n v="32"/>
    <x v="67"/>
    <x v="31"/>
    <s v="Stock"/>
    <s v="Sold shares"/>
    <x v="0"/>
    <m/>
    <n v="132"/>
    <n v="11"/>
    <n v="1"/>
    <n v="1496.88"/>
    <n v="1495.85"/>
    <s v="Closed"/>
    <m/>
    <x v="0"/>
    <m/>
    <x v="0"/>
    <n v="0"/>
  </r>
  <r>
    <n v="32"/>
    <x v="67"/>
    <x v="3"/>
    <s v="Stock"/>
    <s v="Sold shares"/>
    <x v="0"/>
    <m/>
    <n v="300"/>
    <n v="11"/>
    <n v="2"/>
    <n v="3168"/>
    <n v="3166.44"/>
    <s v="Closed"/>
    <m/>
    <x v="0"/>
    <m/>
    <x v="0"/>
    <n v="0"/>
  </r>
  <r>
    <n v="32"/>
    <x v="67"/>
    <x v="32"/>
    <s v="Call"/>
    <s v="Sold"/>
    <x v="13"/>
    <n v="60"/>
    <n v="1"/>
    <n v="1"/>
    <n v="1"/>
    <n v="149"/>
    <n v="147.94999999999999"/>
    <s v="Expired"/>
    <n v="148"/>
    <x v="278"/>
    <m/>
    <x v="4"/>
    <n v="6000"/>
  </r>
  <r>
    <n v="32"/>
    <x v="67"/>
    <x v="32"/>
    <s v="Call"/>
    <s v="Sold"/>
    <x v="13"/>
    <n v="60"/>
    <n v="1"/>
    <n v="1"/>
    <n v="0"/>
    <n v="149"/>
    <n v="148.65"/>
    <s v="Expired"/>
    <n v="149"/>
    <x v="279"/>
    <m/>
    <x v="4"/>
    <n v="6000"/>
  </r>
  <r>
    <n v="32"/>
    <x v="67"/>
    <x v="5"/>
    <s v="Call"/>
    <s v="Sold"/>
    <x v="13"/>
    <n v="20"/>
    <n v="7"/>
    <n v="1"/>
    <n v="-2.09"/>
    <n v="728"/>
    <n v="730.09"/>
    <s v="Assigned"/>
    <n v="730"/>
    <x v="280"/>
    <m/>
    <x v="4"/>
    <n v="14000"/>
  </r>
  <r>
    <n v="32"/>
    <x v="67"/>
    <x v="5"/>
    <s v="Call"/>
    <s v="Sold"/>
    <x v="13"/>
    <n v="20"/>
    <n v="5"/>
    <n v="1"/>
    <n v="4"/>
    <n v="520"/>
    <n v="516.49"/>
    <s v="Assigned"/>
    <n v="516"/>
    <x v="281"/>
    <m/>
    <x v="4"/>
    <n v="10000"/>
  </r>
  <r>
    <n v="32"/>
    <x v="67"/>
    <x v="18"/>
    <s v="Call"/>
    <s v="Sold"/>
    <x v="13"/>
    <n v="85"/>
    <n v="1"/>
    <n v="2"/>
    <n v="1"/>
    <n v="231"/>
    <n v="229.95"/>
    <s v="Expired"/>
    <n v="230"/>
    <x v="282"/>
    <m/>
    <x v="4"/>
    <n v="8500"/>
  </r>
  <r>
    <n v="32"/>
    <x v="67"/>
    <x v="18"/>
    <s v="Call"/>
    <s v="Sold"/>
    <x v="13"/>
    <n v="85"/>
    <n v="1"/>
    <n v="2"/>
    <n v="0"/>
    <n v="231"/>
    <n v="230.65"/>
    <s v="Expired"/>
    <n v="231"/>
    <x v="283"/>
    <m/>
    <x v="4"/>
    <n v="8500"/>
  </r>
  <r>
    <n v="39"/>
    <x v="68"/>
    <x v="34"/>
    <s v="Put"/>
    <s v="Sold"/>
    <x v="14"/>
    <n v="30"/>
    <n v="2"/>
    <n v="2"/>
    <n v="1"/>
    <n v="498"/>
    <n v="496.59"/>
    <s v="Assigned"/>
    <n v="497"/>
    <x v="284"/>
    <n v="303"/>
    <x v="18"/>
    <n v="6000"/>
  </r>
  <r>
    <n v="39"/>
    <x v="68"/>
    <x v="34"/>
    <s v="Put"/>
    <s v="Sold"/>
    <x v="14"/>
    <n v="30"/>
    <n v="2"/>
    <n v="2"/>
    <n v="1"/>
    <n v="498"/>
    <n v="496.59"/>
    <s v="Assigned"/>
    <n v="497"/>
    <x v="284"/>
    <n v="303"/>
    <x v="18"/>
    <n v="6000"/>
  </r>
  <r>
    <n v="40"/>
    <x v="69"/>
    <x v="24"/>
    <s v="Put"/>
    <s v="Sold"/>
    <x v="14"/>
    <n v="180"/>
    <n v="1"/>
    <n v="6"/>
    <n v="1"/>
    <n v="597"/>
    <n v="595.94000000000005"/>
    <s v="Assigned"/>
    <n v="596"/>
    <x v="285"/>
    <n v="173"/>
    <x v="2"/>
    <n v="18000"/>
  </r>
  <r>
    <n v="41"/>
    <x v="28"/>
    <x v="34"/>
    <s v="Call"/>
    <s v="Sold"/>
    <x v="17"/>
    <n v="30"/>
    <n v="2"/>
    <n v="0"/>
    <n v="-0.6"/>
    <n v="50"/>
    <n v="50.6"/>
    <s v="Expired"/>
    <n v="51"/>
    <x v="286"/>
    <m/>
    <x v="22"/>
    <n v="6000"/>
  </r>
  <r>
    <n v="42"/>
    <x v="70"/>
    <x v="34"/>
    <s v="Call"/>
    <s v="Sold"/>
    <x v="12"/>
    <n v="30"/>
    <n v="1"/>
    <n v="1"/>
    <n v="1"/>
    <n v="114"/>
    <n v="112.94"/>
    <s v="Open"/>
    <n v="113"/>
    <x v="287"/>
    <m/>
    <x v="25"/>
    <n v="3000"/>
  </r>
  <r>
    <n v="43"/>
    <x v="71"/>
    <x v="64"/>
    <s v="Put"/>
    <s v="Sold"/>
    <x v="17"/>
    <n v="215"/>
    <n v="1"/>
    <n v="1"/>
    <n v="1"/>
    <n v="126"/>
    <n v="124.94"/>
    <s v="Expired"/>
    <n v="125"/>
    <x v="288"/>
    <n v="7"/>
    <x v="1"/>
    <n v="21500"/>
  </r>
  <r>
    <n v="43"/>
    <x v="71"/>
    <x v="64"/>
    <s v="Put"/>
    <s v="Sold"/>
    <x v="17"/>
    <n v="215"/>
    <n v="1"/>
    <n v="1"/>
    <n v="0"/>
    <n v="126"/>
    <n v="125.64"/>
    <s v="Expired"/>
    <n v="126"/>
    <x v="289"/>
    <n v="7"/>
    <x v="1"/>
    <n v="21500"/>
  </r>
  <r>
    <n v="43"/>
    <x v="71"/>
    <x v="42"/>
    <s v="Put"/>
    <s v="Sold"/>
    <x v="17"/>
    <n v="135"/>
    <n v="1"/>
    <n v="2"/>
    <n v="1"/>
    <n v="231"/>
    <n v="229.94"/>
    <s v="Expired"/>
    <n v="230"/>
    <x v="290"/>
    <n v="20"/>
    <x v="1"/>
    <n v="13500"/>
  </r>
  <r>
    <n v="43"/>
    <x v="71"/>
    <x v="42"/>
    <s v="Put"/>
    <s v="Sold"/>
    <x v="17"/>
    <n v="135"/>
    <n v="1"/>
    <n v="2"/>
    <n v="0"/>
    <n v="231"/>
    <n v="230.64"/>
    <s v="Expired"/>
    <n v="231"/>
    <x v="291"/>
    <n v="20"/>
    <x v="1"/>
    <n v="13500"/>
  </r>
  <r>
    <n v="43"/>
    <x v="71"/>
    <x v="49"/>
    <s v="Put"/>
    <s v="Sold"/>
    <x v="17"/>
    <n v="195"/>
    <n v="1"/>
    <n v="4"/>
    <n v="1"/>
    <n v="352"/>
    <n v="350.94"/>
    <s v="Expired"/>
    <n v="351"/>
    <x v="292"/>
    <n v="21"/>
    <x v="1"/>
    <n v="19500"/>
  </r>
  <r>
    <n v="43"/>
    <x v="71"/>
    <x v="49"/>
    <s v="Put"/>
    <s v="Sold"/>
    <x v="17"/>
    <n v="195"/>
    <n v="1"/>
    <n v="4"/>
    <n v="0"/>
    <n v="352"/>
    <n v="351.64"/>
    <s v="Expired"/>
    <n v="352"/>
    <x v="293"/>
    <n v="21"/>
    <x v="1"/>
    <n v="19500"/>
  </r>
  <r>
    <n v="43"/>
    <x v="71"/>
    <x v="14"/>
    <s v="Put"/>
    <s v="Sold"/>
    <x v="19"/>
    <n v="640"/>
    <n v="2"/>
    <n v="11"/>
    <n v="1"/>
    <n v="2262"/>
    <n v="2260.5500000000002"/>
    <s v="Expired"/>
    <n v="2261"/>
    <x v="294"/>
    <n v="161"/>
    <x v="11"/>
    <n v="128000"/>
  </r>
  <r>
    <n v="43"/>
    <x v="71"/>
    <x v="24"/>
    <s v="Call"/>
    <s v="Sold"/>
    <x v="17"/>
    <n v="180"/>
    <n v="1"/>
    <n v="12"/>
    <n v="0"/>
    <n v="1200"/>
    <n v="1199.92"/>
    <s v="Assigned"/>
    <n v="12"/>
    <x v="295"/>
    <m/>
    <x v="1"/>
    <n v="18000"/>
  </r>
  <r>
    <n v="43"/>
    <x v="71"/>
    <x v="34"/>
    <s v="Call"/>
    <s v="Sold"/>
    <x v="12"/>
    <n v="30"/>
    <n v="1"/>
    <n v="1"/>
    <n v="1"/>
    <n v="84"/>
    <n v="82.95"/>
    <s v="Open"/>
    <n v="83"/>
    <x v="296"/>
    <m/>
    <x v="26"/>
    <n v="3000"/>
  </r>
  <r>
    <n v="44"/>
    <x v="72"/>
    <x v="14"/>
    <s v="Put"/>
    <s v="Sold"/>
    <x v="17"/>
    <n v="745"/>
    <n v="1"/>
    <n v="27"/>
    <n v="1"/>
    <n v="2741"/>
    <n v="2739.89"/>
    <s v="Expired"/>
    <n v="274"/>
    <x v="297"/>
    <n v="58"/>
    <x v="27"/>
    <n v="74500"/>
  </r>
  <r>
    <n v="44"/>
    <x v="72"/>
    <x v="14"/>
    <s v="Put"/>
    <s v="Sold"/>
    <x v="17"/>
    <n v="745"/>
    <n v="1"/>
    <n v="27"/>
    <n v="0"/>
    <n v="2741"/>
    <n v="2740.59"/>
    <s v="Expired"/>
    <n v="2741"/>
    <x v="298"/>
    <n v="58"/>
    <x v="27"/>
    <n v="74500"/>
  </r>
  <r>
    <n v="44"/>
    <x v="72"/>
    <x v="14"/>
    <s v="Put"/>
    <s v="Expired"/>
    <x v="19"/>
    <n v="640"/>
    <n v="2"/>
    <n v="0"/>
    <n v="0"/>
    <n v="0"/>
    <n v="0"/>
    <s v="Expired"/>
    <n v="0"/>
    <x v="299"/>
    <m/>
    <x v="28"/>
    <n v="128000"/>
  </r>
  <r>
    <n v="59"/>
    <x v="73"/>
    <x v="37"/>
    <s v="Put"/>
    <s v="Sold"/>
    <x v="12"/>
    <n v="210"/>
    <n v="4"/>
    <n v="2"/>
    <n v="3"/>
    <n v="888"/>
    <n v="885.18"/>
    <s v="Open"/>
    <n v="885"/>
    <x v="300"/>
    <n v="39"/>
    <x v="18"/>
    <n v="84000"/>
  </r>
  <r>
    <n v="61"/>
    <x v="74"/>
    <x v="43"/>
    <s v="Stock"/>
    <s v="Assigned in"/>
    <x v="0"/>
    <m/>
    <n v="200"/>
    <n v="220"/>
    <m/>
    <m/>
    <n v="0"/>
    <s v="Open"/>
    <m/>
    <x v="0"/>
    <m/>
    <x v="0"/>
    <n v="0"/>
  </r>
  <r>
    <n v="61"/>
    <x v="74"/>
    <x v="43"/>
    <s v="Call"/>
    <s v="Sold"/>
    <x v="20"/>
    <n v="220"/>
    <n v="1"/>
    <n v="3"/>
    <n v="0"/>
    <n v="309"/>
    <n v="308.64999999999998"/>
    <s v="Open"/>
    <n v="309"/>
    <x v="301"/>
    <m/>
    <x v="29"/>
    <n v="22000"/>
  </r>
  <r>
    <n v="61"/>
    <x v="74"/>
    <x v="43"/>
    <s v="Call"/>
    <s v="Sold"/>
    <x v="20"/>
    <n v="220"/>
    <n v="1"/>
    <n v="3"/>
    <n v="1"/>
    <n v="313"/>
    <n v="311.95"/>
    <s v="Open"/>
    <n v="312"/>
    <x v="302"/>
    <m/>
    <x v="29"/>
    <n v="2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0C08D-D2C3-45DF-AF91-83E95295198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2" firstHeaderRow="1" firstDataRow="1" firstDataCol="1" rowPageCount="1" colPageCount="1"/>
  <pivotFields count="24">
    <pivotField showAll="0"/>
    <pivotField axis="axisRow" showAll="0">
      <items count="76">
        <item x="6"/>
        <item x="7"/>
        <item x="15"/>
        <item x="16"/>
        <item x="17"/>
        <item x="18"/>
        <item x="0"/>
        <item x="19"/>
        <item x="20"/>
        <item x="12"/>
        <item x="13"/>
        <item x="14"/>
        <item x="1"/>
        <item x="10"/>
        <item x="2"/>
        <item x="3"/>
        <item x="4"/>
        <item x="11"/>
        <item x="8"/>
        <item x="5"/>
        <item x="9"/>
        <item x="53"/>
        <item x="54"/>
        <item sd="0" x="55"/>
        <item x="56"/>
        <item sd="0" x="57"/>
        <item x="58"/>
        <item x="45"/>
        <item x="46"/>
        <item x="47"/>
        <item x="21"/>
        <item x="48"/>
        <item x="49"/>
        <item x="50"/>
        <item x="22"/>
        <item x="51"/>
        <item x="52"/>
        <item x="66"/>
        <item x="23"/>
        <item x="24"/>
        <item x="25"/>
        <item x="67"/>
        <item x="36"/>
        <item x="37"/>
        <item x="26"/>
        <item x="38"/>
        <item x="39"/>
        <item x="40"/>
        <item x="41"/>
        <item x="68"/>
        <item x="69"/>
        <item x="27"/>
        <item x="28"/>
        <item x="70"/>
        <item x="29"/>
        <item x="71"/>
        <item x="72"/>
        <item x="62"/>
        <item x="30"/>
        <item x="63"/>
        <item x="64"/>
        <item x="65"/>
        <item x="31"/>
        <item x="59"/>
        <item x="32"/>
        <item x="60"/>
        <item x="61"/>
        <item x="42"/>
        <item x="43"/>
        <item x="33"/>
        <item x="34"/>
        <item x="44"/>
        <item x="73"/>
        <item x="35"/>
        <item x="74"/>
        <item t="default"/>
      </items>
    </pivotField>
    <pivotField axis="axisRow" showAll="0">
      <items count="66">
        <item x="54"/>
        <item x="49"/>
        <item x="9"/>
        <item x="42"/>
        <item x="19"/>
        <item x="61"/>
        <item x="52"/>
        <item x="1"/>
        <item x="39"/>
        <item x="20"/>
        <item x="5"/>
        <item x="27"/>
        <item x="55"/>
        <item x="13"/>
        <item x="50"/>
        <item x="53"/>
        <item x="2"/>
        <item x="24"/>
        <item x="35"/>
        <item x="56"/>
        <item x="43"/>
        <item x="40"/>
        <item x="44"/>
        <item x="47"/>
        <item x="34"/>
        <item x="12"/>
        <item x="46"/>
        <item x="32"/>
        <item x="59"/>
        <item x="62"/>
        <item x="21"/>
        <item x="23"/>
        <item x="57"/>
        <item x="10"/>
        <item x="3"/>
        <item x="14"/>
        <item x="37"/>
        <item x="33"/>
        <item x="51"/>
        <item x="58"/>
        <item x="60"/>
        <item x="45"/>
        <item x="6"/>
        <item x="25"/>
        <item x="4"/>
        <item x="48"/>
        <item x="15"/>
        <item x="38"/>
        <item x="28"/>
        <item x="36"/>
        <item x="11"/>
        <item x="29"/>
        <item x="0"/>
        <item x="30"/>
        <item x="22"/>
        <item x="8"/>
        <item x="17"/>
        <item x="7"/>
        <item x="31"/>
        <item x="41"/>
        <item x="64"/>
        <item x="16"/>
        <item x="26"/>
        <item x="18"/>
        <item x="63"/>
        <item t="default"/>
      </items>
    </pivotField>
    <pivotField showAll="0"/>
    <pivotField showAll="0"/>
    <pivotField showAll="0">
      <items count="22">
        <item x="2"/>
        <item x="8"/>
        <item x="1"/>
        <item x="10"/>
        <item x="9"/>
        <item x="6"/>
        <item x="3"/>
        <item x="4"/>
        <item x="16"/>
        <item x="7"/>
        <item x="5"/>
        <item x="13"/>
        <item x="14"/>
        <item x="19"/>
        <item x="17"/>
        <item x="18"/>
        <item x="11"/>
        <item x="15"/>
        <item x="12"/>
        <item x="20"/>
        <item x="0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>
      <items count="304">
        <item x="211"/>
        <item x="37"/>
        <item x="270"/>
        <item x="203"/>
        <item x="267"/>
        <item x="268"/>
        <item x="179"/>
        <item x="175"/>
        <item x="176"/>
        <item x="181"/>
        <item x="182"/>
        <item x="299"/>
        <item x="222"/>
        <item x="133"/>
        <item x="134"/>
        <item x="91"/>
        <item x="269"/>
        <item x="167"/>
        <item x="288"/>
        <item x="289"/>
        <item x="165"/>
        <item x="166"/>
        <item x="151"/>
        <item x="22"/>
        <item x="24"/>
        <item x="23"/>
        <item x="208"/>
        <item x="210"/>
        <item x="209"/>
        <item x="241"/>
        <item x="242"/>
        <item x="180"/>
        <item x="6"/>
        <item x="5"/>
        <item x="118"/>
        <item x="286"/>
        <item x="250"/>
        <item x="251"/>
        <item x="132"/>
        <item x="185"/>
        <item x="156"/>
        <item x="39"/>
        <item x="40"/>
        <item x="154"/>
        <item x="161"/>
        <item x="150"/>
        <item x="162"/>
        <item x="135"/>
        <item x="3"/>
        <item x="2"/>
        <item x="78"/>
        <item x="79"/>
        <item x="4"/>
        <item x="121"/>
        <item x="275"/>
        <item x="90"/>
        <item x="228"/>
        <item x="229"/>
        <item x="126"/>
        <item x="300"/>
        <item x="257"/>
        <item x="265"/>
        <item x="266"/>
        <item x="1"/>
        <item x="129"/>
        <item x="159"/>
        <item x="160"/>
        <item x="52"/>
        <item x="217"/>
        <item x="93"/>
        <item x="77"/>
        <item x="95"/>
        <item x="113"/>
        <item x="212"/>
        <item x="225"/>
        <item x="204"/>
        <item x="205"/>
        <item x="124"/>
        <item x="125"/>
        <item x="107"/>
        <item x="55"/>
        <item x="8"/>
        <item x="273"/>
        <item x="7"/>
        <item x="32"/>
        <item x="33"/>
        <item x="51"/>
        <item x="94"/>
        <item x="256"/>
        <item x="260"/>
        <item x="131"/>
        <item x="163"/>
        <item x="255"/>
        <item x="261"/>
        <item x="207"/>
        <item x="271"/>
        <item x="272"/>
        <item x="206"/>
        <item x="301"/>
        <item x="27"/>
        <item x="28"/>
        <item x="31"/>
        <item x="302"/>
        <item x="50"/>
        <item x="34"/>
        <item x="65"/>
        <item x="64"/>
        <item x="119"/>
        <item x="252"/>
        <item x="253"/>
        <item x="122"/>
        <item x="123"/>
        <item x="224"/>
        <item x="190"/>
        <item x="191"/>
        <item x="35"/>
        <item x="153"/>
        <item x="164"/>
        <item x="230"/>
        <item x="96"/>
        <item x="183"/>
        <item x="116"/>
        <item x="100"/>
        <item x="117"/>
        <item x="184"/>
        <item x="188"/>
        <item x="200"/>
        <item x="189"/>
        <item x="201"/>
        <item x="263"/>
        <item x="101"/>
        <item x="102"/>
        <item x="10"/>
        <item x="9"/>
        <item x="290"/>
        <item x="291"/>
        <item x="243"/>
        <item x="141"/>
        <item x="142"/>
        <item x="294"/>
        <item x="29"/>
        <item x="15"/>
        <item x="30"/>
        <item x="277"/>
        <item x="292"/>
        <item x="293"/>
        <item x="58"/>
        <item x="157"/>
        <item x="158"/>
        <item x="92"/>
        <item x="19"/>
        <item x="262"/>
        <item x="274"/>
        <item x="149"/>
        <item x="57"/>
        <item x="104"/>
        <item x="20"/>
        <item x="18"/>
        <item x="254"/>
        <item x="103"/>
        <item x="44"/>
        <item x="26"/>
        <item x="264"/>
        <item x="219"/>
        <item x="25"/>
        <item x="46"/>
        <item x="45"/>
        <item x="127"/>
        <item x="236"/>
        <item x="128"/>
        <item x="43"/>
        <item x="226"/>
        <item x="178"/>
        <item x="198"/>
        <item x="139"/>
        <item x="177"/>
        <item x="173"/>
        <item x="227"/>
        <item x="137"/>
        <item x="174"/>
        <item x="155"/>
        <item x="192"/>
        <item x="276"/>
        <item x="235"/>
        <item x="193"/>
        <item x="11"/>
        <item x="42"/>
        <item x="112"/>
        <item x="194"/>
        <item x="111"/>
        <item x="110"/>
        <item x="12"/>
        <item x="197"/>
        <item x="21"/>
        <item x="59"/>
        <item x="60"/>
        <item x="67"/>
        <item x="138"/>
        <item x="66"/>
        <item x="68"/>
        <item x="245"/>
        <item x="196"/>
        <item x="246"/>
        <item x="136"/>
        <item x="278"/>
        <item x="279"/>
        <item x="98"/>
        <item x="202"/>
        <item x="97"/>
        <item x="99"/>
        <item x="186"/>
        <item x="108"/>
        <item x="109"/>
        <item x="56"/>
        <item x="152"/>
        <item x="54"/>
        <item x="53"/>
        <item x="237"/>
        <item x="147"/>
        <item x="148"/>
        <item x="282"/>
        <item x="283"/>
        <item x="238"/>
        <item x="187"/>
        <item x="296"/>
        <item x="248"/>
        <item x="84"/>
        <item x="247"/>
        <item x="213"/>
        <item x="214"/>
        <item x="220"/>
        <item x="221"/>
        <item x="80"/>
        <item x="81"/>
        <item x="85"/>
        <item x="86"/>
        <item x="74"/>
        <item x="75"/>
        <item x="73"/>
        <item x="195"/>
        <item x="172"/>
        <item x="16"/>
        <item x="285"/>
        <item x="199"/>
        <item x="114"/>
        <item x="244"/>
        <item x="115"/>
        <item x="145"/>
        <item x="218"/>
        <item x="13"/>
        <item x="14"/>
        <item x="171"/>
        <item x="170"/>
        <item x="146"/>
        <item x="232"/>
        <item x="47"/>
        <item x="231"/>
        <item x="297"/>
        <item x="298"/>
        <item x="287"/>
        <item x="140"/>
        <item x="83"/>
        <item x="49"/>
        <item x="48"/>
        <item x="36"/>
        <item x="233"/>
        <item x="41"/>
        <item x="71"/>
        <item x="76"/>
        <item x="17"/>
        <item x="259"/>
        <item x="72"/>
        <item x="215"/>
        <item x="216"/>
        <item x="89"/>
        <item x="87"/>
        <item x="88"/>
        <item x="239"/>
        <item x="240"/>
        <item x="106"/>
        <item x="105"/>
        <item x="82"/>
        <item x="223"/>
        <item x="69"/>
        <item x="70"/>
        <item x="38"/>
        <item x="281"/>
        <item x="280"/>
        <item x="169"/>
        <item x="143"/>
        <item x="144"/>
        <item x="63"/>
        <item x="249"/>
        <item x="295"/>
        <item x="61"/>
        <item x="62"/>
        <item x="120"/>
        <item x="284"/>
        <item x="130"/>
        <item x="168"/>
        <item x="234"/>
        <item x="258"/>
        <item x="0"/>
        <item t="default"/>
      </items>
    </pivotField>
    <pivotField showAll="0"/>
    <pivotField axis="axisPage" multipleItemSelectionAllowed="1" showAll="0">
      <items count="31">
        <item h="1" x="21"/>
        <item h="1" x="19"/>
        <item h="1" x="14"/>
        <item h="1" x="11"/>
        <item h="1" x="2"/>
        <item h="1" x="12"/>
        <item h="1" x="3"/>
        <item h="1" x="18"/>
        <item h="1" x="13"/>
        <item h="1" x="10"/>
        <item h="1" x="16"/>
        <item h="1" x="6"/>
        <item h="1" x="20"/>
        <item h="1" x="24"/>
        <item h="1" x="27"/>
        <item h="1" x="15"/>
        <item x="4"/>
        <item h="1" x="17"/>
        <item h="1" x="7"/>
        <item x="1"/>
        <item x="9"/>
        <item h="1" x="23"/>
        <item h="1" x="8"/>
        <item h="1" x="22"/>
        <item h="1" x="29"/>
        <item h="1" x="5"/>
        <item h="1" x="26"/>
        <item h="1" x="25"/>
        <item h="1" x="28"/>
        <item h="1" x="0"/>
        <item t="default"/>
      </items>
    </pivotField>
    <pivotField dataField="1" showAll="0"/>
    <pivotField axis="axisRow" showAll="0">
      <items count="15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sd="0" x="13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4">
    <field x="20"/>
    <field x="18"/>
    <field x="1"/>
    <field x="2"/>
  </rowFields>
  <rowItems count="159">
    <i>
      <x v="1"/>
    </i>
    <i r="1">
      <x v="8"/>
    </i>
    <i r="2">
      <x/>
    </i>
    <i r="3">
      <x v="2"/>
    </i>
    <i r="3">
      <x v="25"/>
    </i>
    <i r="3">
      <x v="33"/>
    </i>
    <i r="3">
      <x v="44"/>
    </i>
    <i r="3">
      <x v="50"/>
    </i>
    <i r="3">
      <x v="52"/>
    </i>
    <i r="3">
      <x v="55"/>
    </i>
    <i r="3">
      <x v="57"/>
    </i>
    <i r="1">
      <x v="9"/>
    </i>
    <i r="2">
      <x v="7"/>
    </i>
    <i r="3">
      <x v="9"/>
    </i>
    <i r="3">
      <x v="10"/>
    </i>
    <i r="3">
      <x v="11"/>
    </i>
    <i r="3">
      <x v="13"/>
    </i>
    <i r="3">
      <x v="16"/>
    </i>
    <i r="3">
      <x v="25"/>
    </i>
    <i r="3">
      <x v="35"/>
    </i>
    <i r="3">
      <x v="42"/>
    </i>
    <i r="3">
      <x v="44"/>
    </i>
    <i r="3">
      <x v="48"/>
    </i>
    <i r="3">
      <x v="51"/>
    </i>
    <i r="3">
      <x v="52"/>
    </i>
    <i r="3">
      <x v="53"/>
    </i>
    <i r="3">
      <x v="55"/>
    </i>
    <i r="3">
      <x v="62"/>
    </i>
    <i r="3">
      <x v="63"/>
    </i>
    <i r="1">
      <x v="10"/>
    </i>
    <i r="2">
      <x v="11"/>
    </i>
    <i r="3">
      <x v="10"/>
    </i>
    <i r="3">
      <x v="13"/>
    </i>
    <i r="3">
      <x v="17"/>
    </i>
    <i r="3">
      <x v="31"/>
    </i>
    <i r="3">
      <x v="35"/>
    </i>
    <i r="3">
      <x v="42"/>
    </i>
    <i r="3">
      <x v="44"/>
    </i>
    <i r="3">
      <x v="50"/>
    </i>
    <i r="3">
      <x v="52"/>
    </i>
    <i r="3">
      <x v="54"/>
    </i>
    <i r="3">
      <x v="55"/>
    </i>
    <i r="3">
      <x v="56"/>
    </i>
    <i r="3">
      <x v="63"/>
    </i>
    <i r="1">
      <x v="11"/>
    </i>
    <i r="2">
      <x v="17"/>
    </i>
    <i r="3">
      <x v="4"/>
    </i>
    <i r="3">
      <x v="9"/>
    </i>
    <i r="3">
      <x v="13"/>
    </i>
    <i r="3">
      <x v="30"/>
    </i>
    <i r="3">
      <x v="35"/>
    </i>
    <i r="3">
      <x v="42"/>
    </i>
    <i r="3">
      <x v="50"/>
    </i>
    <i r="3">
      <x v="52"/>
    </i>
    <i r="3">
      <x v="56"/>
    </i>
    <i r="1">
      <x v="12"/>
    </i>
    <i r="2">
      <x v="20"/>
    </i>
    <i r="3">
      <x v="10"/>
    </i>
    <i r="3">
      <x v="13"/>
    </i>
    <i r="3">
      <x v="33"/>
    </i>
    <i r="3">
      <x v="35"/>
    </i>
    <i r="3">
      <x v="44"/>
    </i>
    <i r="3">
      <x v="46"/>
    </i>
    <i r="3">
      <x v="50"/>
    </i>
    <i r="3">
      <x v="52"/>
    </i>
    <i r="3">
      <x v="56"/>
    </i>
    <i r="3">
      <x v="61"/>
    </i>
    <i>
      <x v="2"/>
    </i>
    <i r="1">
      <x v="1"/>
    </i>
    <i r="2">
      <x v="23"/>
    </i>
    <i r="2">
      <x v="24"/>
    </i>
    <i r="3">
      <x/>
    </i>
    <i r="3">
      <x v="3"/>
    </i>
    <i r="3">
      <x v="15"/>
    </i>
    <i r="3">
      <x v="17"/>
    </i>
    <i r="3">
      <x v="25"/>
    </i>
    <i r="3">
      <x v="35"/>
    </i>
    <i r="3">
      <x v="39"/>
    </i>
    <i r="3">
      <x v="46"/>
    </i>
    <i r="3">
      <x v="58"/>
    </i>
    <i r="2">
      <x v="25"/>
    </i>
    <i r="1">
      <x v="2"/>
    </i>
    <i r="2">
      <x v="35"/>
    </i>
    <i r="3">
      <x/>
    </i>
    <i r="3">
      <x v="10"/>
    </i>
    <i r="3">
      <x v="12"/>
    </i>
    <i r="3">
      <x v="13"/>
    </i>
    <i r="3">
      <x v="15"/>
    </i>
    <i r="3">
      <x v="17"/>
    </i>
    <i r="3">
      <x v="19"/>
    </i>
    <i r="3">
      <x v="32"/>
    </i>
    <i r="3">
      <x v="33"/>
    </i>
    <i r="3">
      <x v="35"/>
    </i>
    <i r="3">
      <x v="37"/>
    </i>
    <i r="3">
      <x v="61"/>
    </i>
    <i r="3">
      <x v="63"/>
    </i>
    <i r="1">
      <x v="3"/>
    </i>
    <i r="2">
      <x v="41"/>
    </i>
    <i r="3">
      <x v="10"/>
    </i>
    <i r="3">
      <x v="13"/>
    </i>
    <i r="3">
      <x v="17"/>
    </i>
    <i r="3">
      <x v="22"/>
    </i>
    <i r="3">
      <x v="27"/>
    </i>
    <i r="3">
      <x v="33"/>
    </i>
    <i r="3">
      <x v="35"/>
    </i>
    <i r="3">
      <x v="61"/>
    </i>
    <i r="3">
      <x v="63"/>
    </i>
    <i r="1">
      <x v="4"/>
    </i>
    <i r="2">
      <x v="45"/>
    </i>
    <i r="3">
      <x v="13"/>
    </i>
    <i r="3">
      <x v="17"/>
    </i>
    <i r="3">
      <x v="20"/>
    </i>
    <i r="3">
      <x v="22"/>
    </i>
    <i r="3">
      <x v="33"/>
    </i>
    <i r="3">
      <x v="35"/>
    </i>
    <i r="3">
      <x v="56"/>
    </i>
    <i r="1">
      <x v="5"/>
    </i>
    <i r="2">
      <x v="55"/>
    </i>
    <i r="3">
      <x v="1"/>
    </i>
    <i r="3">
      <x v="3"/>
    </i>
    <i r="3">
      <x v="17"/>
    </i>
    <i r="3">
      <x v="60"/>
    </i>
    <i r="1">
      <x v="6"/>
    </i>
    <i r="2">
      <x v="59"/>
    </i>
    <i r="3">
      <x v="13"/>
    </i>
    <i r="3">
      <x v="35"/>
    </i>
    <i r="1">
      <x v="7"/>
    </i>
    <i r="2">
      <x v="65"/>
    </i>
    <i r="3">
      <x v="5"/>
    </i>
    <i r="3">
      <x v="6"/>
    </i>
    <i r="3">
      <x v="8"/>
    </i>
    <i r="3">
      <x v="14"/>
    </i>
    <i r="3">
      <x v="20"/>
    </i>
    <i r="3">
      <x v="29"/>
    </i>
    <i r="3">
      <x v="33"/>
    </i>
    <i r="3">
      <x v="38"/>
    </i>
    <i r="3">
      <x v="40"/>
    </i>
    <i r="3">
      <x v="47"/>
    </i>
    <i r="3">
      <x v="52"/>
    </i>
    <i r="2">
      <x v="66"/>
    </i>
    <i r="3">
      <x v="1"/>
    </i>
    <i r="3">
      <x v="64"/>
    </i>
    <i r="1">
      <x v="8"/>
    </i>
    <i r="2">
      <x v="71"/>
    </i>
    <i r="3">
      <x v="1"/>
    </i>
    <i r="3">
      <x v="6"/>
    </i>
    <i r="3">
      <x v="8"/>
    </i>
    <i r="3">
      <x v="13"/>
    </i>
    <i r="3">
      <x v="14"/>
    </i>
    <i r="3">
      <x v="18"/>
    </i>
    <i r="3">
      <x v="20"/>
    </i>
    <i r="3">
      <x v="21"/>
    </i>
    <i r="3">
      <x v="23"/>
    </i>
    <i r="3">
      <x v="26"/>
    </i>
    <i r="3">
      <x v="35"/>
    </i>
    <i r="3">
      <x v="38"/>
    </i>
    <i r="3">
      <x v="45"/>
    </i>
    <i r="3">
      <x v="47"/>
    </i>
    <i t="grand">
      <x/>
    </i>
  </rowItems>
  <colItems count="1">
    <i/>
  </colItems>
  <pageFields count="1">
    <pageField fld="16" hier="-1"/>
  </pageFields>
  <dataFields count="1">
    <dataField name="Suma de Exposición Nominal" fld="17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C2EA-43BD-4DAD-8E72-72A7D52FF21D}">
  <dimension ref="A1:B162"/>
  <sheetViews>
    <sheetView topLeftCell="A7" workbookViewId="0">
      <selection activeCell="B29" sqref="B29"/>
    </sheetView>
  </sheetViews>
  <sheetFormatPr baseColWidth="10" defaultRowHeight="15" x14ac:dyDescent="0.25"/>
  <cols>
    <col min="1" max="1" width="17.5703125" bestFit="1" customWidth="1"/>
    <col min="2" max="2" width="26.85546875" bestFit="1" customWidth="1"/>
    <col min="3" max="3" width="16.28515625" bestFit="1" customWidth="1"/>
    <col min="4" max="6" width="9" bestFit="1" customWidth="1"/>
    <col min="7" max="8" width="8" bestFit="1" customWidth="1"/>
    <col min="9" max="9" width="9" bestFit="1" customWidth="1"/>
    <col min="10" max="10" width="8" bestFit="1" customWidth="1"/>
    <col min="11" max="11" width="9" bestFit="1" customWidth="1"/>
    <col min="12" max="12" width="8" bestFit="1" customWidth="1"/>
    <col min="13" max="13" width="9" bestFit="1" customWidth="1"/>
    <col min="14" max="15" width="8" bestFit="1" customWidth="1"/>
    <col min="16" max="16" width="9" bestFit="1" customWidth="1"/>
    <col min="17" max="17" width="8" bestFit="1" customWidth="1"/>
    <col min="18" max="18" width="10.5703125" bestFit="1" customWidth="1"/>
    <col min="19" max="20" width="8" bestFit="1" customWidth="1"/>
    <col min="21" max="22" width="9" bestFit="1" customWidth="1"/>
    <col min="23" max="23" width="5.42578125" bestFit="1" customWidth="1"/>
    <col min="24" max="27" width="8" bestFit="1" customWidth="1"/>
    <col min="28" max="29" width="7" bestFit="1" customWidth="1"/>
    <col min="30" max="30" width="9" bestFit="1" customWidth="1"/>
    <col min="31" max="31" width="11" bestFit="1" customWidth="1"/>
    <col min="32" max="32" width="12.5703125" bestFit="1" customWidth="1"/>
    <col min="33" max="76" width="10.7109375" bestFit="1" customWidth="1"/>
    <col min="77" max="77" width="12.5703125" bestFit="1" customWidth="1"/>
  </cols>
  <sheetData>
    <row r="1" spans="1:2" x14ac:dyDescent="0.25">
      <c r="A1" s="20" t="s">
        <v>16</v>
      </c>
      <c r="B1" t="s">
        <v>114</v>
      </c>
    </row>
    <row r="3" spans="1:2" x14ac:dyDescent="0.25">
      <c r="A3" s="20" t="s">
        <v>97</v>
      </c>
      <c r="B3" t="s">
        <v>104</v>
      </c>
    </row>
    <row r="4" spans="1:2" x14ac:dyDescent="0.25">
      <c r="A4" s="21" t="s">
        <v>99</v>
      </c>
      <c r="B4" s="22">
        <v>1305100</v>
      </c>
    </row>
    <row r="5" spans="1:2" x14ac:dyDescent="0.25">
      <c r="A5" s="23" t="s">
        <v>101</v>
      </c>
      <c r="B5" s="22">
        <v>161900</v>
      </c>
    </row>
    <row r="6" spans="1:2" x14ac:dyDescent="0.25">
      <c r="A6" s="25">
        <v>45888</v>
      </c>
      <c r="B6" s="22">
        <v>161900</v>
      </c>
    </row>
    <row r="7" spans="1:2" x14ac:dyDescent="0.25">
      <c r="A7" s="24" t="s">
        <v>34</v>
      </c>
      <c r="B7" s="22">
        <v>23000</v>
      </c>
    </row>
    <row r="8" spans="1:2" x14ac:dyDescent="0.25">
      <c r="A8" s="24" t="s">
        <v>37</v>
      </c>
      <c r="B8" s="22">
        <v>5400</v>
      </c>
    </row>
    <row r="9" spans="1:2" x14ac:dyDescent="0.25">
      <c r="A9" s="24" t="s">
        <v>35</v>
      </c>
      <c r="B9" s="22">
        <v>19600</v>
      </c>
    </row>
    <row r="10" spans="1:2" x14ac:dyDescent="0.25">
      <c r="A10" s="24" t="s">
        <v>26</v>
      </c>
      <c r="B10" s="22">
        <v>13000</v>
      </c>
    </row>
    <row r="11" spans="1:2" x14ac:dyDescent="0.25">
      <c r="A11" s="24" t="s">
        <v>36</v>
      </c>
      <c r="B11" s="22">
        <v>7500</v>
      </c>
    </row>
    <row r="12" spans="1:2" x14ac:dyDescent="0.25">
      <c r="A12" s="24" t="s">
        <v>17</v>
      </c>
      <c r="B12" s="22">
        <v>24000</v>
      </c>
    </row>
    <row r="13" spans="1:2" x14ac:dyDescent="0.25">
      <c r="A13" s="24" t="s">
        <v>33</v>
      </c>
      <c r="B13" s="22">
        <v>43600</v>
      </c>
    </row>
    <row r="14" spans="1:2" x14ac:dyDescent="0.25">
      <c r="A14" s="24" t="s">
        <v>29</v>
      </c>
      <c r="B14" s="22">
        <v>25800</v>
      </c>
    </row>
    <row r="15" spans="1:2" x14ac:dyDescent="0.25">
      <c r="A15" s="23" t="s">
        <v>102</v>
      </c>
      <c r="B15" s="22">
        <v>303300</v>
      </c>
    </row>
    <row r="16" spans="1:2" x14ac:dyDescent="0.25">
      <c r="A16" s="25">
        <v>45922</v>
      </c>
      <c r="B16" s="22">
        <v>303300</v>
      </c>
    </row>
    <row r="17" spans="1:2" x14ac:dyDescent="0.25">
      <c r="A17" s="24" t="s">
        <v>48</v>
      </c>
      <c r="B17" s="22">
        <v>8400</v>
      </c>
    </row>
    <row r="18" spans="1:2" x14ac:dyDescent="0.25">
      <c r="A18" s="24" t="s">
        <v>27</v>
      </c>
      <c r="B18" s="22">
        <v>3000</v>
      </c>
    </row>
    <row r="19" spans="1:2" x14ac:dyDescent="0.25">
      <c r="A19" s="24" t="s">
        <v>55</v>
      </c>
      <c r="B19" s="22">
        <v>12000</v>
      </c>
    </row>
    <row r="20" spans="1:2" x14ac:dyDescent="0.25">
      <c r="A20" s="24" t="s">
        <v>38</v>
      </c>
      <c r="B20" s="22">
        <v>63500</v>
      </c>
    </row>
    <row r="21" spans="1:2" x14ac:dyDescent="0.25">
      <c r="A21" s="24" t="s">
        <v>22</v>
      </c>
      <c r="B21" s="22">
        <v>10500</v>
      </c>
    </row>
    <row r="22" spans="1:2" x14ac:dyDescent="0.25">
      <c r="A22" s="24" t="s">
        <v>37</v>
      </c>
      <c r="B22" s="22">
        <v>15200</v>
      </c>
    </row>
    <row r="23" spans="1:2" x14ac:dyDescent="0.25">
      <c r="A23" s="24" t="s">
        <v>39</v>
      </c>
      <c r="B23" s="22">
        <v>13500</v>
      </c>
    </row>
    <row r="24" spans="1:2" x14ac:dyDescent="0.25">
      <c r="A24" s="24" t="s">
        <v>28</v>
      </c>
      <c r="B24" s="22">
        <v>7200</v>
      </c>
    </row>
    <row r="25" spans="1:2" x14ac:dyDescent="0.25">
      <c r="A25" s="24" t="s">
        <v>26</v>
      </c>
      <c r="B25" s="22">
        <v>16000</v>
      </c>
    </row>
    <row r="26" spans="1:2" x14ac:dyDescent="0.25">
      <c r="A26" s="24" t="s">
        <v>56</v>
      </c>
      <c r="B26" s="22">
        <v>9500</v>
      </c>
    </row>
    <row r="27" spans="1:2" x14ac:dyDescent="0.25">
      <c r="A27" s="24" t="s">
        <v>57</v>
      </c>
      <c r="B27" s="22">
        <v>7200</v>
      </c>
    </row>
    <row r="28" spans="1:2" x14ac:dyDescent="0.25">
      <c r="A28" s="24" t="s">
        <v>17</v>
      </c>
      <c r="B28" s="22">
        <v>30000</v>
      </c>
    </row>
    <row r="29" spans="1:2" x14ac:dyDescent="0.25">
      <c r="A29" s="24" t="s">
        <v>58</v>
      </c>
      <c r="B29" s="22">
        <v>14000</v>
      </c>
    </row>
    <row r="30" spans="1:2" x14ac:dyDescent="0.25">
      <c r="A30" s="24" t="s">
        <v>33</v>
      </c>
      <c r="B30" s="22">
        <v>24000</v>
      </c>
    </row>
    <row r="31" spans="1:2" x14ac:dyDescent="0.25">
      <c r="A31" s="24" t="s">
        <v>54</v>
      </c>
      <c r="B31" s="22">
        <v>50300</v>
      </c>
    </row>
    <row r="32" spans="1:2" x14ac:dyDescent="0.25">
      <c r="A32" s="24" t="s">
        <v>45</v>
      </c>
      <c r="B32" s="22">
        <v>19000</v>
      </c>
    </row>
    <row r="33" spans="1:2" x14ac:dyDescent="0.25">
      <c r="A33" s="23" t="s">
        <v>105</v>
      </c>
      <c r="B33" s="22">
        <v>345300</v>
      </c>
    </row>
    <row r="34" spans="1:2" x14ac:dyDescent="0.25">
      <c r="A34" s="25">
        <v>45950</v>
      </c>
      <c r="B34" s="22">
        <v>345300</v>
      </c>
    </row>
    <row r="35" spans="1:2" x14ac:dyDescent="0.25">
      <c r="A35" s="24" t="s">
        <v>27</v>
      </c>
      <c r="B35" s="22">
        <v>10800</v>
      </c>
    </row>
    <row r="36" spans="1:2" x14ac:dyDescent="0.25">
      <c r="A36" s="24" t="s">
        <v>38</v>
      </c>
      <c r="B36" s="22">
        <v>44000</v>
      </c>
    </row>
    <row r="37" spans="1:2" x14ac:dyDescent="0.25">
      <c r="A37" s="24" t="s">
        <v>52</v>
      </c>
      <c r="B37" s="22">
        <v>25400</v>
      </c>
    </row>
    <row r="38" spans="1:2" x14ac:dyDescent="0.25">
      <c r="A38" s="24" t="s">
        <v>51</v>
      </c>
      <c r="B38" s="22">
        <v>18600</v>
      </c>
    </row>
    <row r="39" spans="1:2" x14ac:dyDescent="0.25">
      <c r="A39" s="24" t="s">
        <v>39</v>
      </c>
      <c r="B39" s="22">
        <v>36600</v>
      </c>
    </row>
    <row r="40" spans="1:2" x14ac:dyDescent="0.25">
      <c r="A40" s="24" t="s">
        <v>28</v>
      </c>
      <c r="B40" s="22">
        <v>4400</v>
      </c>
    </row>
    <row r="41" spans="1:2" x14ac:dyDescent="0.25">
      <c r="A41" s="24" t="s">
        <v>26</v>
      </c>
      <c r="B41" s="22">
        <v>28000</v>
      </c>
    </row>
    <row r="42" spans="1:2" x14ac:dyDescent="0.25">
      <c r="A42" s="24" t="s">
        <v>36</v>
      </c>
      <c r="B42" s="22">
        <v>12000</v>
      </c>
    </row>
    <row r="43" spans="1:2" x14ac:dyDescent="0.25">
      <c r="A43" s="24" t="s">
        <v>17</v>
      </c>
      <c r="B43" s="22">
        <v>58000</v>
      </c>
    </row>
    <row r="44" spans="1:2" x14ac:dyDescent="0.25">
      <c r="A44" s="24" t="s">
        <v>50</v>
      </c>
      <c r="B44" s="22">
        <v>16500</v>
      </c>
    </row>
    <row r="45" spans="1:2" x14ac:dyDescent="0.25">
      <c r="A45" s="24" t="s">
        <v>33</v>
      </c>
      <c r="B45" s="22">
        <v>52000</v>
      </c>
    </row>
    <row r="46" spans="1:2" x14ac:dyDescent="0.25">
      <c r="A46" s="24" t="s">
        <v>42</v>
      </c>
      <c r="B46" s="22">
        <v>15000</v>
      </c>
    </row>
    <row r="47" spans="1:2" x14ac:dyDescent="0.25">
      <c r="A47" s="24" t="s">
        <v>45</v>
      </c>
      <c r="B47" s="22">
        <v>24000</v>
      </c>
    </row>
    <row r="48" spans="1:2" x14ac:dyDescent="0.25">
      <c r="A48" s="23" t="s">
        <v>106</v>
      </c>
      <c r="B48" s="22">
        <v>195000</v>
      </c>
    </row>
    <row r="49" spans="1:2" x14ac:dyDescent="0.25">
      <c r="A49" s="25">
        <v>45985</v>
      </c>
      <c r="B49" s="22">
        <v>195000</v>
      </c>
    </row>
    <row r="50" spans="1:2" x14ac:dyDescent="0.25">
      <c r="A50" s="24" t="s">
        <v>47</v>
      </c>
      <c r="B50" s="22">
        <v>21000</v>
      </c>
    </row>
    <row r="51" spans="1:2" x14ac:dyDescent="0.25">
      <c r="A51" s="24" t="s">
        <v>48</v>
      </c>
      <c r="B51" s="22">
        <v>13800</v>
      </c>
    </row>
    <row r="52" spans="1:2" x14ac:dyDescent="0.25">
      <c r="A52" s="24" t="s">
        <v>38</v>
      </c>
      <c r="B52" s="22">
        <v>51000</v>
      </c>
    </row>
    <row r="53" spans="1:2" x14ac:dyDescent="0.25">
      <c r="A53" s="24" t="s">
        <v>49</v>
      </c>
      <c r="B53" s="22">
        <v>17600</v>
      </c>
    </row>
    <row r="54" spans="1:2" x14ac:dyDescent="0.25">
      <c r="A54" s="24" t="s">
        <v>39</v>
      </c>
      <c r="B54" s="22">
        <v>36600</v>
      </c>
    </row>
    <row r="55" spans="1:2" x14ac:dyDescent="0.25">
      <c r="A55" s="24" t="s">
        <v>28</v>
      </c>
      <c r="B55" s="22">
        <v>5200</v>
      </c>
    </row>
    <row r="56" spans="1:2" x14ac:dyDescent="0.25">
      <c r="A56" s="24" t="s">
        <v>36</v>
      </c>
      <c r="B56" s="22">
        <v>10800</v>
      </c>
    </row>
    <row r="57" spans="1:2" x14ac:dyDescent="0.25">
      <c r="A57" s="24" t="s">
        <v>17</v>
      </c>
      <c r="B57" s="22">
        <v>28000</v>
      </c>
    </row>
    <row r="58" spans="1:2" x14ac:dyDescent="0.25">
      <c r="A58" s="24" t="s">
        <v>42</v>
      </c>
      <c r="B58" s="22">
        <v>11000</v>
      </c>
    </row>
    <row r="59" spans="1:2" x14ac:dyDescent="0.25">
      <c r="A59" s="23" t="s">
        <v>107</v>
      </c>
      <c r="B59" s="22">
        <v>299600</v>
      </c>
    </row>
    <row r="60" spans="1:2" x14ac:dyDescent="0.25">
      <c r="A60" s="25">
        <v>46013</v>
      </c>
      <c r="B60" s="22">
        <v>299600</v>
      </c>
    </row>
    <row r="61" spans="1:2" x14ac:dyDescent="0.25">
      <c r="A61" s="24" t="s">
        <v>27</v>
      </c>
      <c r="B61" s="22">
        <v>9000</v>
      </c>
    </row>
    <row r="62" spans="1:2" x14ac:dyDescent="0.25">
      <c r="A62" s="24" t="s">
        <v>38</v>
      </c>
      <c r="B62" s="22">
        <v>49000</v>
      </c>
    </row>
    <row r="63" spans="1:2" x14ac:dyDescent="0.25">
      <c r="A63" s="24" t="s">
        <v>35</v>
      </c>
      <c r="B63" s="22">
        <v>31000</v>
      </c>
    </row>
    <row r="64" spans="1:2" x14ac:dyDescent="0.25">
      <c r="A64" s="24" t="s">
        <v>39</v>
      </c>
      <c r="B64" s="22">
        <v>45000</v>
      </c>
    </row>
    <row r="65" spans="1:2" x14ac:dyDescent="0.25">
      <c r="A65" s="24" t="s">
        <v>26</v>
      </c>
      <c r="B65" s="22">
        <v>41000</v>
      </c>
    </row>
    <row r="66" spans="1:2" x14ac:dyDescent="0.25">
      <c r="A66" s="24" t="s">
        <v>40</v>
      </c>
      <c r="B66" s="22">
        <v>7800</v>
      </c>
    </row>
    <row r="67" spans="1:2" x14ac:dyDescent="0.25">
      <c r="A67" s="24" t="s">
        <v>36</v>
      </c>
      <c r="B67" s="22">
        <v>12000</v>
      </c>
    </row>
    <row r="68" spans="1:2" x14ac:dyDescent="0.25">
      <c r="A68" s="24" t="s">
        <v>17</v>
      </c>
      <c r="B68" s="22">
        <v>75000</v>
      </c>
    </row>
    <row r="69" spans="1:2" x14ac:dyDescent="0.25">
      <c r="A69" s="24" t="s">
        <v>42</v>
      </c>
      <c r="B69" s="22">
        <v>12000</v>
      </c>
    </row>
    <row r="70" spans="1:2" x14ac:dyDescent="0.25">
      <c r="A70" s="24" t="s">
        <v>41</v>
      </c>
      <c r="B70" s="22">
        <v>17800</v>
      </c>
    </row>
    <row r="71" spans="1:2" x14ac:dyDescent="0.25">
      <c r="A71" s="21" t="s">
        <v>100</v>
      </c>
      <c r="B71" s="22">
        <v>2436200</v>
      </c>
    </row>
    <row r="72" spans="1:2" x14ac:dyDescent="0.25">
      <c r="A72" s="23" t="s">
        <v>108</v>
      </c>
      <c r="B72" s="22">
        <v>475400</v>
      </c>
    </row>
    <row r="73" spans="1:2" x14ac:dyDescent="0.25">
      <c r="A73" s="25">
        <v>46041</v>
      </c>
      <c r="B73" s="22">
        <v>109000</v>
      </c>
    </row>
    <row r="74" spans="1:2" x14ac:dyDescent="0.25">
      <c r="A74" s="25">
        <v>46042</v>
      </c>
      <c r="B74" s="22">
        <v>309400</v>
      </c>
    </row>
    <row r="75" spans="1:2" x14ac:dyDescent="0.25">
      <c r="A75" s="24" t="s">
        <v>83</v>
      </c>
      <c r="B75" s="22">
        <v>38000</v>
      </c>
    </row>
    <row r="76" spans="1:2" x14ac:dyDescent="0.25">
      <c r="A76" s="24" t="s">
        <v>71</v>
      </c>
      <c r="B76" s="22">
        <v>42000</v>
      </c>
    </row>
    <row r="77" spans="1:2" x14ac:dyDescent="0.25">
      <c r="A77" s="24" t="s">
        <v>82</v>
      </c>
      <c r="B77" s="22">
        <v>62000</v>
      </c>
    </row>
    <row r="78" spans="1:2" x14ac:dyDescent="0.25">
      <c r="A78" s="24" t="s">
        <v>52</v>
      </c>
      <c r="B78" s="22">
        <v>48000</v>
      </c>
    </row>
    <row r="79" spans="1:2" x14ac:dyDescent="0.25">
      <c r="A79" s="24" t="s">
        <v>37</v>
      </c>
      <c r="B79" s="22">
        <v>27000</v>
      </c>
    </row>
    <row r="80" spans="1:2" x14ac:dyDescent="0.25">
      <c r="A80" s="24" t="s">
        <v>39</v>
      </c>
      <c r="B80" s="22">
        <v>58000</v>
      </c>
    </row>
    <row r="81" spans="1:2" x14ac:dyDescent="0.25">
      <c r="A81" s="24" t="s">
        <v>87</v>
      </c>
      <c r="B81" s="22">
        <v>18800</v>
      </c>
    </row>
    <row r="82" spans="1:2" x14ac:dyDescent="0.25">
      <c r="A82" s="24" t="s">
        <v>40</v>
      </c>
      <c r="B82" s="22">
        <v>8400</v>
      </c>
    </row>
    <row r="83" spans="1:2" x14ac:dyDescent="0.25">
      <c r="A83" s="24" t="s">
        <v>59</v>
      </c>
      <c r="B83" s="22">
        <v>7200</v>
      </c>
    </row>
    <row r="84" spans="1:2" x14ac:dyDescent="0.25">
      <c r="A84" s="25">
        <v>46048</v>
      </c>
      <c r="B84" s="22">
        <v>57000</v>
      </c>
    </row>
    <row r="85" spans="1:2" x14ac:dyDescent="0.25">
      <c r="A85" s="23" t="s">
        <v>109</v>
      </c>
      <c r="B85" s="22">
        <v>370000</v>
      </c>
    </row>
    <row r="86" spans="1:2" x14ac:dyDescent="0.25">
      <c r="A86" s="25">
        <v>46076</v>
      </c>
      <c r="B86" s="22">
        <v>370000</v>
      </c>
    </row>
    <row r="87" spans="1:2" x14ac:dyDescent="0.25">
      <c r="A87" s="24" t="s">
        <v>83</v>
      </c>
      <c r="B87" s="22">
        <v>31000</v>
      </c>
    </row>
    <row r="88" spans="1:2" x14ac:dyDescent="0.25">
      <c r="A88" s="24" t="s">
        <v>27</v>
      </c>
      <c r="B88" s="22">
        <v>8000</v>
      </c>
    </row>
    <row r="89" spans="1:2" x14ac:dyDescent="0.25">
      <c r="A89" s="24" t="s">
        <v>84</v>
      </c>
      <c r="B89" s="22">
        <v>25000</v>
      </c>
    </row>
    <row r="90" spans="1:2" x14ac:dyDescent="0.25">
      <c r="A90" s="24" t="s">
        <v>38</v>
      </c>
      <c r="B90" s="22">
        <v>46000</v>
      </c>
    </row>
    <row r="91" spans="1:2" x14ac:dyDescent="0.25">
      <c r="A91" s="24" t="s">
        <v>82</v>
      </c>
      <c r="B91" s="22">
        <v>38000</v>
      </c>
    </row>
    <row r="92" spans="1:2" x14ac:dyDescent="0.25">
      <c r="A92" s="24" t="s">
        <v>52</v>
      </c>
      <c r="B92" s="22">
        <v>19000</v>
      </c>
    </row>
    <row r="93" spans="1:2" x14ac:dyDescent="0.25">
      <c r="A93" s="24" t="s">
        <v>85</v>
      </c>
      <c r="B93" s="22">
        <v>20000</v>
      </c>
    </row>
    <row r="94" spans="1:2" x14ac:dyDescent="0.25">
      <c r="A94" s="24" t="s">
        <v>86</v>
      </c>
      <c r="B94" s="22">
        <v>16000</v>
      </c>
    </row>
    <row r="95" spans="1:2" x14ac:dyDescent="0.25">
      <c r="A95" s="24" t="s">
        <v>35</v>
      </c>
      <c r="B95" s="22">
        <v>51000</v>
      </c>
    </row>
    <row r="96" spans="1:2" x14ac:dyDescent="0.25">
      <c r="A96" s="24" t="s">
        <v>39</v>
      </c>
      <c r="B96" s="22">
        <v>66000</v>
      </c>
    </row>
    <row r="97" spans="1:2" x14ac:dyDescent="0.25">
      <c r="A97" s="24" t="s">
        <v>61</v>
      </c>
      <c r="B97" s="22">
        <v>5000</v>
      </c>
    </row>
    <row r="98" spans="1:2" x14ac:dyDescent="0.25">
      <c r="A98" s="24" t="s">
        <v>41</v>
      </c>
      <c r="B98" s="22">
        <v>27000</v>
      </c>
    </row>
    <row r="99" spans="1:2" x14ac:dyDescent="0.25">
      <c r="A99" s="24" t="s">
        <v>45</v>
      </c>
      <c r="B99" s="22">
        <v>18000</v>
      </c>
    </row>
    <row r="100" spans="1:2" x14ac:dyDescent="0.25">
      <c r="A100" s="23" t="s">
        <v>110</v>
      </c>
      <c r="B100" s="22">
        <v>308000</v>
      </c>
    </row>
    <row r="101" spans="1:2" x14ac:dyDescent="0.25">
      <c r="A101" s="25">
        <v>46104</v>
      </c>
      <c r="B101" s="22">
        <v>308000</v>
      </c>
    </row>
    <row r="102" spans="1:2" x14ac:dyDescent="0.25">
      <c r="A102" s="24" t="s">
        <v>27</v>
      </c>
      <c r="B102" s="22">
        <v>24000</v>
      </c>
    </row>
    <row r="103" spans="1:2" x14ac:dyDescent="0.25">
      <c r="A103" s="24" t="s">
        <v>38</v>
      </c>
      <c r="B103" s="22">
        <v>46000</v>
      </c>
    </row>
    <row r="104" spans="1:2" x14ac:dyDescent="0.25">
      <c r="A104" s="24" t="s">
        <v>52</v>
      </c>
      <c r="B104" s="22">
        <v>17000</v>
      </c>
    </row>
    <row r="105" spans="1:2" x14ac:dyDescent="0.25">
      <c r="A105" s="24" t="s">
        <v>73</v>
      </c>
      <c r="B105" s="22">
        <v>42000</v>
      </c>
    </row>
    <row r="106" spans="1:2" x14ac:dyDescent="0.25">
      <c r="A106" s="24" t="s">
        <v>60</v>
      </c>
      <c r="B106" s="22">
        <v>12000</v>
      </c>
    </row>
    <row r="107" spans="1:2" x14ac:dyDescent="0.25">
      <c r="A107" s="24" t="s">
        <v>35</v>
      </c>
      <c r="B107" s="22">
        <v>57000</v>
      </c>
    </row>
    <row r="108" spans="1:2" x14ac:dyDescent="0.25">
      <c r="A108" s="24" t="s">
        <v>39</v>
      </c>
      <c r="B108" s="22">
        <v>66000</v>
      </c>
    </row>
    <row r="109" spans="1:2" x14ac:dyDescent="0.25">
      <c r="A109" s="24" t="s">
        <v>41</v>
      </c>
      <c r="B109" s="22">
        <v>27000</v>
      </c>
    </row>
    <row r="110" spans="1:2" x14ac:dyDescent="0.25">
      <c r="A110" s="24" t="s">
        <v>45</v>
      </c>
      <c r="B110" s="22">
        <v>17000</v>
      </c>
    </row>
    <row r="111" spans="1:2" x14ac:dyDescent="0.25">
      <c r="A111" s="23" t="s">
        <v>111</v>
      </c>
      <c r="B111" s="22">
        <v>372000</v>
      </c>
    </row>
    <row r="112" spans="1:2" x14ac:dyDescent="0.25">
      <c r="A112" s="25">
        <v>46132</v>
      </c>
      <c r="B112" s="22">
        <v>372000</v>
      </c>
    </row>
    <row r="113" spans="1:2" x14ac:dyDescent="0.25">
      <c r="A113" s="24" t="s">
        <v>38</v>
      </c>
      <c r="B113" s="22">
        <v>32000</v>
      </c>
    </row>
    <row r="114" spans="1:2" x14ac:dyDescent="0.25">
      <c r="A114" s="24" t="s">
        <v>52</v>
      </c>
      <c r="B114" s="22">
        <v>52000</v>
      </c>
    </row>
    <row r="115" spans="1:2" x14ac:dyDescent="0.25">
      <c r="A115" s="24" t="s">
        <v>72</v>
      </c>
      <c r="B115" s="22">
        <v>52000</v>
      </c>
    </row>
    <row r="116" spans="1:2" x14ac:dyDescent="0.25">
      <c r="A116" s="24" t="s">
        <v>73</v>
      </c>
      <c r="B116" s="22">
        <v>53000</v>
      </c>
    </row>
    <row r="117" spans="1:2" x14ac:dyDescent="0.25">
      <c r="A117" s="24" t="s">
        <v>35</v>
      </c>
      <c r="B117" s="22">
        <v>71000</v>
      </c>
    </row>
    <row r="118" spans="1:2" x14ac:dyDescent="0.25">
      <c r="A118" s="24" t="s">
        <v>39</v>
      </c>
      <c r="B118" s="22">
        <v>74000</v>
      </c>
    </row>
    <row r="119" spans="1:2" x14ac:dyDescent="0.25">
      <c r="A119" s="24" t="s">
        <v>42</v>
      </c>
      <c r="B119" s="22">
        <v>38000</v>
      </c>
    </row>
    <row r="120" spans="1:2" x14ac:dyDescent="0.25">
      <c r="A120" s="23" t="s">
        <v>112</v>
      </c>
      <c r="B120" s="22">
        <v>127000</v>
      </c>
    </row>
    <row r="121" spans="1:2" x14ac:dyDescent="0.25">
      <c r="A121" s="25">
        <v>46160</v>
      </c>
      <c r="B121" s="22">
        <v>127000</v>
      </c>
    </row>
    <row r="122" spans="1:2" x14ac:dyDescent="0.25">
      <c r="A122" s="24" t="s">
        <v>78</v>
      </c>
      <c r="B122" s="22">
        <v>39000</v>
      </c>
    </row>
    <row r="123" spans="1:2" x14ac:dyDescent="0.25">
      <c r="A123" s="24" t="s">
        <v>71</v>
      </c>
      <c r="B123" s="22">
        <v>27000</v>
      </c>
    </row>
    <row r="124" spans="1:2" x14ac:dyDescent="0.25">
      <c r="A124" s="24" t="s">
        <v>52</v>
      </c>
      <c r="B124" s="22">
        <v>18000</v>
      </c>
    </row>
    <row r="125" spans="1:2" x14ac:dyDescent="0.25">
      <c r="A125" s="24" t="s">
        <v>94</v>
      </c>
      <c r="B125" s="22">
        <v>43000</v>
      </c>
    </row>
    <row r="126" spans="1:2" x14ac:dyDescent="0.25">
      <c r="A126" s="23" t="s">
        <v>113</v>
      </c>
      <c r="B126" s="22">
        <v>40100</v>
      </c>
    </row>
    <row r="127" spans="1:2" x14ac:dyDescent="0.25">
      <c r="A127" s="25">
        <v>46195</v>
      </c>
      <c r="B127" s="22">
        <v>40100</v>
      </c>
    </row>
    <row r="128" spans="1:2" x14ac:dyDescent="0.25">
      <c r="A128" s="24" t="s">
        <v>38</v>
      </c>
      <c r="B128" s="22">
        <v>40000</v>
      </c>
    </row>
    <row r="129" spans="1:2" x14ac:dyDescent="0.25">
      <c r="A129" s="24" t="s">
        <v>39</v>
      </c>
      <c r="B129" s="22">
        <v>100</v>
      </c>
    </row>
    <row r="130" spans="1:2" x14ac:dyDescent="0.25">
      <c r="A130" s="23" t="s">
        <v>103</v>
      </c>
      <c r="B130" s="22">
        <v>343200</v>
      </c>
    </row>
    <row r="131" spans="1:2" x14ac:dyDescent="0.25">
      <c r="A131" s="25">
        <v>46223</v>
      </c>
      <c r="B131" s="22">
        <v>278800</v>
      </c>
    </row>
    <row r="132" spans="1:2" x14ac:dyDescent="0.25">
      <c r="A132" s="24" t="s">
        <v>91</v>
      </c>
      <c r="B132" s="22">
        <v>11400</v>
      </c>
    </row>
    <row r="133" spans="1:2" x14ac:dyDescent="0.25">
      <c r="A133" s="24" t="s">
        <v>81</v>
      </c>
      <c r="B133" s="22">
        <v>10000</v>
      </c>
    </row>
    <row r="134" spans="1:2" x14ac:dyDescent="0.25">
      <c r="A134" s="24" t="s">
        <v>67</v>
      </c>
      <c r="B134" s="22">
        <v>12000</v>
      </c>
    </row>
    <row r="135" spans="1:2" x14ac:dyDescent="0.25">
      <c r="A135" s="24" t="s">
        <v>79</v>
      </c>
      <c r="B135" s="22">
        <v>11800</v>
      </c>
    </row>
    <row r="136" spans="1:2" x14ac:dyDescent="0.25">
      <c r="A136" s="24" t="s">
        <v>72</v>
      </c>
      <c r="B136" s="22">
        <v>39000</v>
      </c>
    </row>
    <row r="137" spans="1:2" x14ac:dyDescent="0.25">
      <c r="A137" s="24" t="s">
        <v>92</v>
      </c>
      <c r="B137" s="22">
        <v>11000</v>
      </c>
    </row>
    <row r="138" spans="1:2" x14ac:dyDescent="0.25">
      <c r="A138" s="24" t="s">
        <v>35</v>
      </c>
      <c r="B138" s="22">
        <v>54000</v>
      </c>
    </row>
    <row r="139" spans="1:2" x14ac:dyDescent="0.25">
      <c r="A139" s="24" t="s">
        <v>80</v>
      </c>
      <c r="B139" s="22">
        <v>4600</v>
      </c>
    </row>
    <row r="140" spans="1:2" x14ac:dyDescent="0.25">
      <c r="A140" s="24" t="s">
        <v>90</v>
      </c>
      <c r="B140" s="22">
        <v>8000</v>
      </c>
    </row>
    <row r="141" spans="1:2" x14ac:dyDescent="0.25">
      <c r="A141" s="24" t="s">
        <v>66</v>
      </c>
      <c r="B141" s="22">
        <v>25000</v>
      </c>
    </row>
    <row r="142" spans="1:2" x14ac:dyDescent="0.25">
      <c r="A142" s="24" t="s">
        <v>17</v>
      </c>
      <c r="B142" s="22">
        <v>92000</v>
      </c>
    </row>
    <row r="143" spans="1:2" x14ac:dyDescent="0.25">
      <c r="A143" s="25">
        <v>46224</v>
      </c>
      <c r="B143" s="22">
        <v>64400</v>
      </c>
    </row>
    <row r="144" spans="1:2" x14ac:dyDescent="0.25">
      <c r="A144" s="24" t="s">
        <v>78</v>
      </c>
      <c r="B144" s="22">
        <v>37000</v>
      </c>
    </row>
    <row r="145" spans="1:2" x14ac:dyDescent="0.25">
      <c r="A145" s="24" t="s">
        <v>93</v>
      </c>
      <c r="B145" s="22">
        <v>27400</v>
      </c>
    </row>
    <row r="146" spans="1:2" x14ac:dyDescent="0.25">
      <c r="A146" s="23" t="s">
        <v>101</v>
      </c>
      <c r="B146" s="22">
        <v>400500</v>
      </c>
    </row>
    <row r="147" spans="1:2" x14ac:dyDescent="0.25">
      <c r="A147" s="25">
        <v>46258</v>
      </c>
      <c r="B147" s="22">
        <v>400500</v>
      </c>
    </row>
    <row r="148" spans="1:2" x14ac:dyDescent="0.25">
      <c r="A148" s="24" t="s">
        <v>78</v>
      </c>
      <c r="B148" s="22">
        <v>39000</v>
      </c>
    </row>
    <row r="149" spans="1:2" x14ac:dyDescent="0.25">
      <c r="A149" s="24" t="s">
        <v>81</v>
      </c>
      <c r="B149" s="22">
        <v>10000</v>
      </c>
    </row>
    <row r="150" spans="1:2" x14ac:dyDescent="0.25">
      <c r="A150" s="24" t="s">
        <v>67</v>
      </c>
      <c r="B150" s="22">
        <v>12000</v>
      </c>
    </row>
    <row r="151" spans="1:2" x14ac:dyDescent="0.25">
      <c r="A151" s="24" t="s">
        <v>38</v>
      </c>
      <c r="B151" s="22">
        <v>38000</v>
      </c>
    </row>
    <row r="152" spans="1:2" x14ac:dyDescent="0.25">
      <c r="A152" s="24" t="s">
        <v>79</v>
      </c>
      <c r="B152" s="22">
        <v>12000</v>
      </c>
    </row>
    <row r="153" spans="1:2" x14ac:dyDescent="0.25">
      <c r="A153" s="24" t="s">
        <v>63</v>
      </c>
      <c r="B153" s="22">
        <v>11600</v>
      </c>
    </row>
    <row r="154" spans="1:2" x14ac:dyDescent="0.25">
      <c r="A154" s="24" t="s">
        <v>72</v>
      </c>
      <c r="B154" s="22">
        <v>44000</v>
      </c>
    </row>
    <row r="155" spans="1:2" x14ac:dyDescent="0.25">
      <c r="A155" s="24" t="s">
        <v>68</v>
      </c>
      <c r="B155" s="22">
        <v>46000</v>
      </c>
    </row>
    <row r="156" spans="1:2" x14ac:dyDescent="0.25">
      <c r="A156" s="24" t="s">
        <v>76</v>
      </c>
      <c r="B156" s="22">
        <v>15600</v>
      </c>
    </row>
    <row r="157" spans="1:2" x14ac:dyDescent="0.25">
      <c r="A157" s="24" t="s">
        <v>75</v>
      </c>
      <c r="B157" s="22">
        <v>16000</v>
      </c>
    </row>
    <row r="158" spans="1:2" x14ac:dyDescent="0.25">
      <c r="A158" s="24" t="s">
        <v>39</v>
      </c>
      <c r="B158" s="22">
        <v>76100</v>
      </c>
    </row>
    <row r="159" spans="1:2" x14ac:dyDescent="0.25">
      <c r="A159" s="24" t="s">
        <v>80</v>
      </c>
      <c r="B159" s="22">
        <v>11200</v>
      </c>
    </row>
    <row r="160" spans="1:2" x14ac:dyDescent="0.25">
      <c r="A160" s="24" t="s">
        <v>77</v>
      </c>
      <c r="B160" s="22">
        <v>44000</v>
      </c>
    </row>
    <row r="161" spans="1:2" x14ac:dyDescent="0.25">
      <c r="A161" s="24" t="s">
        <v>66</v>
      </c>
      <c r="B161" s="22">
        <v>25000</v>
      </c>
    </row>
    <row r="162" spans="1:2" x14ac:dyDescent="0.25">
      <c r="A162" s="21" t="s">
        <v>98</v>
      </c>
      <c r="B162" s="22">
        <v>3741300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8E4B-A73B-44DA-9C52-4C9814DDFC3B}">
  <dimension ref="A1:R383"/>
  <sheetViews>
    <sheetView tabSelected="1" zoomScale="115" zoomScaleNormal="115" workbookViewId="0">
      <selection activeCell="E26" sqref="E26"/>
    </sheetView>
  </sheetViews>
  <sheetFormatPr baseColWidth="10" defaultColWidth="20.7109375" defaultRowHeight="12.75" x14ac:dyDescent="0.2"/>
  <cols>
    <col min="1" max="1" width="6.28515625" style="10" customWidth="1"/>
    <col min="2" max="2" width="14" style="11" bestFit="1" customWidth="1"/>
    <col min="3" max="3" width="7.140625" style="10" bestFit="1" customWidth="1"/>
    <col min="4" max="4" width="11.140625" style="10" bestFit="1" customWidth="1"/>
    <col min="5" max="5" width="10.5703125" style="10" bestFit="1" customWidth="1"/>
    <col min="6" max="6" width="12.85546875" style="10" bestFit="1" customWidth="1"/>
    <col min="7" max="7" width="6.85546875" style="10" bestFit="1" customWidth="1"/>
    <col min="8" max="8" width="5.28515625" style="10" bestFit="1" customWidth="1"/>
    <col min="9" max="9" width="10" style="10" customWidth="1"/>
    <col min="10" max="10" width="7.140625" style="16" customWidth="1"/>
    <col min="11" max="11" width="15.5703125" style="16" bestFit="1" customWidth="1"/>
    <col min="12" max="12" width="12.85546875" style="16" bestFit="1" customWidth="1"/>
    <col min="13" max="13" width="15.28515625" style="10" bestFit="1" customWidth="1"/>
    <col min="14" max="14" width="9.85546875" style="16" bestFit="1" customWidth="1"/>
    <col min="15" max="15" width="8.42578125" style="10" customWidth="1"/>
    <col min="16" max="16" width="8.85546875" style="10" customWidth="1"/>
    <col min="17" max="17" width="4.28515625" style="10" bestFit="1" customWidth="1"/>
    <col min="18" max="16384" width="20.7109375" style="1"/>
  </cols>
  <sheetData>
    <row r="1" spans="1:18" s="3" customFormat="1" ht="51" customHeight="1" thickBot="1" x14ac:dyDescent="0.3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3" t="s">
        <v>9</v>
      </c>
      <c r="K1" s="13" t="s">
        <v>10</v>
      </c>
      <c r="L1" s="13" t="s">
        <v>11</v>
      </c>
      <c r="M1" s="2" t="s">
        <v>12</v>
      </c>
      <c r="N1" s="13" t="s">
        <v>13</v>
      </c>
      <c r="O1" s="2" t="s">
        <v>14</v>
      </c>
      <c r="P1" s="2" t="s">
        <v>15</v>
      </c>
      <c r="Q1" s="2" t="s">
        <v>16</v>
      </c>
      <c r="R1" s="18" t="s">
        <v>96</v>
      </c>
    </row>
    <row r="2" spans="1:18" ht="13.5" thickTop="1" x14ac:dyDescent="0.2">
      <c r="A2" s="5">
        <v>1</v>
      </c>
      <c r="B2" s="6">
        <v>45888</v>
      </c>
      <c r="C2" s="7" t="s">
        <v>29</v>
      </c>
      <c r="D2" s="7" t="s">
        <v>30</v>
      </c>
      <c r="E2" s="7" t="s">
        <v>31</v>
      </c>
      <c r="F2" s="6">
        <v>45919</v>
      </c>
      <c r="G2" s="7">
        <v>86</v>
      </c>
      <c r="H2" s="7">
        <v>3</v>
      </c>
      <c r="I2" s="7">
        <v>1</v>
      </c>
      <c r="J2" s="14">
        <v>2</v>
      </c>
      <c r="K2" s="14">
        <v>294</v>
      </c>
      <c r="L2" s="14">
        <v>291.89</v>
      </c>
      <c r="M2" s="7" t="s">
        <v>32</v>
      </c>
      <c r="N2" s="14">
        <v>292</v>
      </c>
      <c r="O2" s="17">
        <f t="shared" ref="O2:O65" si="0">IFERROR(L2/(G2*100*H2),"")</f>
        <v>1.1313565891472867E-2</v>
      </c>
      <c r="P2" s="7">
        <v>13</v>
      </c>
      <c r="Q2" s="7">
        <v>31</v>
      </c>
      <c r="R2" s="19">
        <f t="shared" ref="R2:R65" si="1">H2*G2*100</f>
        <v>25800</v>
      </c>
    </row>
    <row r="3" spans="1:18" x14ac:dyDescent="0.2">
      <c r="A3" s="5">
        <v>1</v>
      </c>
      <c r="B3" s="6">
        <v>45888</v>
      </c>
      <c r="C3" s="7" t="s">
        <v>33</v>
      </c>
      <c r="D3" s="7" t="s">
        <v>30</v>
      </c>
      <c r="E3" s="7" t="s">
        <v>31</v>
      </c>
      <c r="F3" s="6">
        <v>45919</v>
      </c>
      <c r="G3" s="7">
        <v>218</v>
      </c>
      <c r="H3" s="7">
        <v>1</v>
      </c>
      <c r="I3" s="7">
        <v>2</v>
      </c>
      <c r="J3" s="14">
        <v>0</v>
      </c>
      <c r="K3" s="14">
        <v>217</v>
      </c>
      <c r="L3" s="14">
        <v>216.65</v>
      </c>
      <c r="M3" s="7" t="s">
        <v>32</v>
      </c>
      <c r="N3" s="14">
        <v>217</v>
      </c>
      <c r="O3" s="17">
        <f t="shared" si="0"/>
        <v>9.9380733944954124E-3</v>
      </c>
      <c r="P3" s="7">
        <v>12</v>
      </c>
      <c r="Q3" s="7">
        <v>31</v>
      </c>
      <c r="R3" s="19">
        <f t="shared" si="1"/>
        <v>21800</v>
      </c>
    </row>
    <row r="4" spans="1:18" x14ac:dyDescent="0.2">
      <c r="A4" s="5">
        <v>1</v>
      </c>
      <c r="B4" s="6">
        <v>45888</v>
      </c>
      <c r="C4" s="7" t="s">
        <v>33</v>
      </c>
      <c r="D4" s="7" t="s">
        <v>30</v>
      </c>
      <c r="E4" s="7" t="s">
        <v>31</v>
      </c>
      <c r="F4" s="6">
        <v>45919</v>
      </c>
      <c r="G4" s="7">
        <v>218</v>
      </c>
      <c r="H4" s="7">
        <v>1</v>
      </c>
      <c r="I4" s="7">
        <v>2</v>
      </c>
      <c r="J4" s="14">
        <v>1</v>
      </c>
      <c r="K4" s="14">
        <v>217</v>
      </c>
      <c r="L4" s="14">
        <v>215.95</v>
      </c>
      <c r="M4" s="7" t="s">
        <v>32</v>
      </c>
      <c r="N4" s="14">
        <v>216</v>
      </c>
      <c r="O4" s="17">
        <f t="shared" si="0"/>
        <v>9.9059633027522923E-3</v>
      </c>
      <c r="P4" s="7">
        <v>12</v>
      </c>
      <c r="Q4" s="7">
        <v>31</v>
      </c>
      <c r="R4" s="19">
        <f t="shared" si="1"/>
        <v>21800</v>
      </c>
    </row>
    <row r="5" spans="1:18" x14ac:dyDescent="0.2">
      <c r="A5" s="5">
        <v>1</v>
      </c>
      <c r="B5" s="6">
        <v>45888</v>
      </c>
      <c r="C5" s="7" t="s">
        <v>17</v>
      </c>
      <c r="D5" s="7" t="s">
        <v>30</v>
      </c>
      <c r="E5" s="7" t="s">
        <v>31</v>
      </c>
      <c r="F5" s="6">
        <v>45919</v>
      </c>
      <c r="G5" s="7">
        <v>240</v>
      </c>
      <c r="H5" s="7">
        <v>1</v>
      </c>
      <c r="I5" s="7">
        <v>2</v>
      </c>
      <c r="J5" s="14">
        <v>1</v>
      </c>
      <c r="K5" s="14">
        <v>245</v>
      </c>
      <c r="L5" s="14">
        <v>243.95</v>
      </c>
      <c r="M5" s="7" t="s">
        <v>32</v>
      </c>
      <c r="N5" s="14">
        <v>244</v>
      </c>
      <c r="O5" s="17">
        <f t="shared" si="0"/>
        <v>1.0164583333333333E-2</v>
      </c>
      <c r="P5" s="7">
        <v>12</v>
      </c>
      <c r="Q5" s="7">
        <v>31</v>
      </c>
      <c r="R5" s="19">
        <f t="shared" si="1"/>
        <v>24000</v>
      </c>
    </row>
    <row r="6" spans="1:18" x14ac:dyDescent="0.2">
      <c r="A6" s="5">
        <v>1</v>
      </c>
      <c r="B6" s="6">
        <v>45888</v>
      </c>
      <c r="C6" s="7" t="s">
        <v>34</v>
      </c>
      <c r="D6" s="7" t="s">
        <v>30</v>
      </c>
      <c r="E6" s="7" t="s">
        <v>31</v>
      </c>
      <c r="F6" s="6">
        <v>45919</v>
      </c>
      <c r="G6" s="7">
        <v>115</v>
      </c>
      <c r="H6" s="7">
        <v>1</v>
      </c>
      <c r="I6" s="7">
        <v>1</v>
      </c>
      <c r="J6" s="14">
        <v>0</v>
      </c>
      <c r="K6" s="14">
        <v>88</v>
      </c>
      <c r="L6" s="14">
        <v>87.65</v>
      </c>
      <c r="M6" s="7" t="s">
        <v>32</v>
      </c>
      <c r="N6" s="14">
        <v>88</v>
      </c>
      <c r="O6" s="17">
        <f t="shared" si="0"/>
        <v>7.6217391304347834E-3</v>
      </c>
      <c r="P6" s="7">
        <v>9</v>
      </c>
      <c r="Q6" s="7">
        <v>31</v>
      </c>
      <c r="R6" s="19">
        <f t="shared" si="1"/>
        <v>11500</v>
      </c>
    </row>
    <row r="7" spans="1:18" x14ac:dyDescent="0.2">
      <c r="A7" s="5">
        <v>1</v>
      </c>
      <c r="B7" s="6">
        <v>45888</v>
      </c>
      <c r="C7" s="7" t="s">
        <v>34</v>
      </c>
      <c r="D7" s="7" t="s">
        <v>30</v>
      </c>
      <c r="E7" s="7" t="s">
        <v>31</v>
      </c>
      <c r="F7" s="6">
        <v>45919</v>
      </c>
      <c r="G7" s="7">
        <v>115</v>
      </c>
      <c r="H7" s="7">
        <v>1</v>
      </c>
      <c r="I7" s="7">
        <v>1</v>
      </c>
      <c r="J7" s="14">
        <v>1</v>
      </c>
      <c r="K7" s="14">
        <v>88</v>
      </c>
      <c r="L7" s="14">
        <v>86.95</v>
      </c>
      <c r="M7" s="7" t="s">
        <v>32</v>
      </c>
      <c r="N7" s="14">
        <v>87</v>
      </c>
      <c r="O7" s="17">
        <f t="shared" si="0"/>
        <v>7.5608695652173916E-3</v>
      </c>
      <c r="P7" s="7">
        <v>9</v>
      </c>
      <c r="Q7" s="7">
        <v>31</v>
      </c>
      <c r="R7" s="19">
        <f t="shared" si="1"/>
        <v>11500</v>
      </c>
    </row>
    <row r="8" spans="1:18" x14ac:dyDescent="0.2">
      <c r="A8" s="5">
        <v>1</v>
      </c>
      <c r="B8" s="6">
        <v>45888</v>
      </c>
      <c r="C8" s="7" t="s">
        <v>35</v>
      </c>
      <c r="D8" s="7" t="s">
        <v>30</v>
      </c>
      <c r="E8" s="7" t="s">
        <v>31</v>
      </c>
      <c r="F8" s="6">
        <v>45919</v>
      </c>
      <c r="G8" s="7">
        <v>98</v>
      </c>
      <c r="H8" s="7">
        <v>1</v>
      </c>
      <c r="I8" s="7">
        <v>1</v>
      </c>
      <c r="J8" s="14">
        <v>0</v>
      </c>
      <c r="K8" s="14">
        <v>131</v>
      </c>
      <c r="L8" s="14">
        <v>130.65</v>
      </c>
      <c r="M8" s="7" t="s">
        <v>32</v>
      </c>
      <c r="N8" s="14">
        <v>131</v>
      </c>
      <c r="O8" s="17">
        <f t="shared" si="0"/>
        <v>1.3331632653061224E-2</v>
      </c>
      <c r="P8" s="7">
        <v>16</v>
      </c>
      <c r="Q8" s="7">
        <v>31</v>
      </c>
      <c r="R8" s="19">
        <f t="shared" si="1"/>
        <v>9800</v>
      </c>
    </row>
    <row r="9" spans="1:18" x14ac:dyDescent="0.2">
      <c r="A9" s="5">
        <v>1</v>
      </c>
      <c r="B9" s="6">
        <v>45888</v>
      </c>
      <c r="C9" s="7" t="s">
        <v>35</v>
      </c>
      <c r="D9" s="7" t="s">
        <v>30</v>
      </c>
      <c r="E9" s="7" t="s">
        <v>31</v>
      </c>
      <c r="F9" s="6">
        <v>45919</v>
      </c>
      <c r="G9" s="7">
        <v>98</v>
      </c>
      <c r="H9" s="7">
        <v>1</v>
      </c>
      <c r="I9" s="7">
        <v>1</v>
      </c>
      <c r="J9" s="14">
        <v>1</v>
      </c>
      <c r="K9" s="14">
        <v>131</v>
      </c>
      <c r="L9" s="14">
        <v>129.94999999999999</v>
      </c>
      <c r="M9" s="7" t="s">
        <v>32</v>
      </c>
      <c r="N9" s="14">
        <v>130</v>
      </c>
      <c r="O9" s="17">
        <f t="shared" si="0"/>
        <v>1.3260204081632651E-2</v>
      </c>
      <c r="P9" s="7">
        <v>16</v>
      </c>
      <c r="Q9" s="7">
        <v>31</v>
      </c>
      <c r="R9" s="19">
        <f t="shared" si="1"/>
        <v>9800</v>
      </c>
    </row>
    <row r="10" spans="1:18" x14ac:dyDescent="0.2">
      <c r="A10" s="5">
        <v>1</v>
      </c>
      <c r="B10" s="6">
        <v>45888</v>
      </c>
      <c r="C10" s="7" t="s">
        <v>36</v>
      </c>
      <c r="D10" s="7" t="s">
        <v>30</v>
      </c>
      <c r="E10" s="7" t="s">
        <v>31</v>
      </c>
      <c r="F10" s="6">
        <v>45919</v>
      </c>
      <c r="G10" s="7">
        <v>15</v>
      </c>
      <c r="H10" s="7">
        <v>1</v>
      </c>
      <c r="I10" s="7">
        <v>0</v>
      </c>
      <c r="J10" s="14">
        <v>1</v>
      </c>
      <c r="K10" s="14">
        <v>26</v>
      </c>
      <c r="L10" s="14">
        <v>25.3</v>
      </c>
      <c r="M10" s="7" t="s">
        <v>32</v>
      </c>
      <c r="N10" s="14">
        <v>25</v>
      </c>
      <c r="O10" s="17">
        <f t="shared" si="0"/>
        <v>1.6866666666666669E-2</v>
      </c>
      <c r="P10" s="7">
        <v>20</v>
      </c>
      <c r="Q10" s="7">
        <v>31</v>
      </c>
      <c r="R10" s="19">
        <f t="shared" si="1"/>
        <v>1500</v>
      </c>
    </row>
    <row r="11" spans="1:18" x14ac:dyDescent="0.2">
      <c r="A11" s="5">
        <v>1</v>
      </c>
      <c r="B11" s="6">
        <v>45888</v>
      </c>
      <c r="C11" s="7" t="s">
        <v>36</v>
      </c>
      <c r="D11" s="7" t="s">
        <v>30</v>
      </c>
      <c r="E11" s="7" t="s">
        <v>31</v>
      </c>
      <c r="F11" s="6">
        <v>45919</v>
      </c>
      <c r="G11" s="7">
        <v>15</v>
      </c>
      <c r="H11" s="7">
        <v>1</v>
      </c>
      <c r="I11" s="7">
        <v>0</v>
      </c>
      <c r="J11" s="14">
        <v>1</v>
      </c>
      <c r="K11" s="14">
        <v>26</v>
      </c>
      <c r="L11" s="14">
        <v>25.3</v>
      </c>
      <c r="M11" s="7" t="s">
        <v>32</v>
      </c>
      <c r="N11" s="14">
        <v>25</v>
      </c>
      <c r="O11" s="17">
        <f t="shared" si="0"/>
        <v>1.6866666666666669E-2</v>
      </c>
      <c r="P11" s="7">
        <v>20</v>
      </c>
      <c r="Q11" s="7">
        <v>31</v>
      </c>
      <c r="R11" s="19">
        <f t="shared" si="1"/>
        <v>1500</v>
      </c>
    </row>
    <row r="12" spans="1:18" x14ac:dyDescent="0.2">
      <c r="A12" s="5">
        <v>1</v>
      </c>
      <c r="B12" s="6">
        <v>45888</v>
      </c>
      <c r="C12" s="7" t="s">
        <v>36</v>
      </c>
      <c r="D12" s="7" t="s">
        <v>30</v>
      </c>
      <c r="E12" s="7" t="s">
        <v>31</v>
      </c>
      <c r="F12" s="6">
        <v>45919</v>
      </c>
      <c r="G12" s="7">
        <v>15</v>
      </c>
      <c r="H12" s="7">
        <v>2</v>
      </c>
      <c r="I12" s="7">
        <v>0</v>
      </c>
      <c r="J12" s="14">
        <v>1</v>
      </c>
      <c r="K12" s="14">
        <v>52</v>
      </c>
      <c r="L12" s="14">
        <v>50.59</v>
      </c>
      <c r="M12" s="7" t="s">
        <v>32</v>
      </c>
      <c r="N12" s="14">
        <v>51</v>
      </c>
      <c r="O12" s="17">
        <f t="shared" si="0"/>
        <v>1.6863333333333334E-2</v>
      </c>
      <c r="P12" s="7">
        <v>20</v>
      </c>
      <c r="Q12" s="7">
        <v>31</v>
      </c>
      <c r="R12" s="19">
        <f t="shared" si="1"/>
        <v>3000</v>
      </c>
    </row>
    <row r="13" spans="1:18" x14ac:dyDescent="0.2">
      <c r="A13" s="5">
        <v>1</v>
      </c>
      <c r="B13" s="6">
        <v>45888</v>
      </c>
      <c r="C13" s="7" t="s">
        <v>36</v>
      </c>
      <c r="D13" s="7" t="s">
        <v>30</v>
      </c>
      <c r="E13" s="7" t="s">
        <v>31</v>
      </c>
      <c r="F13" s="6">
        <v>45919</v>
      </c>
      <c r="G13" s="7">
        <v>15</v>
      </c>
      <c r="H13" s="7">
        <v>1</v>
      </c>
      <c r="I13" s="7">
        <v>0</v>
      </c>
      <c r="J13" s="14">
        <v>1</v>
      </c>
      <c r="K13" s="14">
        <v>26</v>
      </c>
      <c r="L13" s="14">
        <v>25.3</v>
      </c>
      <c r="M13" s="7" t="s">
        <v>32</v>
      </c>
      <c r="N13" s="14">
        <v>25</v>
      </c>
      <c r="O13" s="17">
        <f t="shared" si="0"/>
        <v>1.6866666666666669E-2</v>
      </c>
      <c r="P13" s="7">
        <v>20</v>
      </c>
      <c r="Q13" s="7">
        <v>31</v>
      </c>
      <c r="R13" s="19">
        <f t="shared" si="1"/>
        <v>1500</v>
      </c>
    </row>
    <row r="14" spans="1:18" x14ac:dyDescent="0.2">
      <c r="A14" s="5">
        <v>1</v>
      </c>
      <c r="B14" s="6">
        <v>45888</v>
      </c>
      <c r="C14" s="7" t="s">
        <v>37</v>
      </c>
      <c r="D14" s="7" t="s">
        <v>30</v>
      </c>
      <c r="E14" s="7" t="s">
        <v>31</v>
      </c>
      <c r="F14" s="6">
        <v>45919</v>
      </c>
      <c r="G14" s="7">
        <v>27</v>
      </c>
      <c r="H14" s="7">
        <v>1</v>
      </c>
      <c r="I14" s="7">
        <v>1</v>
      </c>
      <c r="J14" s="14">
        <v>1</v>
      </c>
      <c r="K14" s="14">
        <v>62</v>
      </c>
      <c r="L14" s="14">
        <v>60.95</v>
      </c>
      <c r="M14" s="7" t="s">
        <v>32</v>
      </c>
      <c r="N14" s="14">
        <v>61</v>
      </c>
      <c r="O14" s="17">
        <f t="shared" si="0"/>
        <v>2.2574074074074076E-2</v>
      </c>
      <c r="P14" s="7">
        <v>27</v>
      </c>
      <c r="Q14" s="7">
        <v>31</v>
      </c>
      <c r="R14" s="19">
        <f t="shared" si="1"/>
        <v>2700</v>
      </c>
    </row>
    <row r="15" spans="1:18" x14ac:dyDescent="0.2">
      <c r="A15" s="5">
        <v>1</v>
      </c>
      <c r="B15" s="6">
        <v>45888</v>
      </c>
      <c r="C15" s="7" t="s">
        <v>37</v>
      </c>
      <c r="D15" s="7" t="s">
        <v>30</v>
      </c>
      <c r="E15" s="7" t="s">
        <v>31</v>
      </c>
      <c r="F15" s="6">
        <v>45919</v>
      </c>
      <c r="G15" s="7">
        <v>27</v>
      </c>
      <c r="H15" s="7">
        <v>1</v>
      </c>
      <c r="I15" s="7">
        <v>1</v>
      </c>
      <c r="J15" s="14">
        <v>0</v>
      </c>
      <c r="K15" s="14">
        <v>62</v>
      </c>
      <c r="L15" s="14">
        <v>61.65</v>
      </c>
      <c r="M15" s="7" t="s">
        <v>32</v>
      </c>
      <c r="N15" s="14">
        <v>62</v>
      </c>
      <c r="O15" s="17">
        <f t="shared" si="0"/>
        <v>2.2833333333333334E-2</v>
      </c>
      <c r="P15" s="7">
        <v>27</v>
      </c>
      <c r="Q15" s="7">
        <v>31</v>
      </c>
      <c r="R15" s="19">
        <f t="shared" si="1"/>
        <v>2700</v>
      </c>
    </row>
    <row r="16" spans="1:18" x14ac:dyDescent="0.2">
      <c r="A16" s="5">
        <v>1</v>
      </c>
      <c r="B16" s="6">
        <v>45888</v>
      </c>
      <c r="C16" s="7" t="s">
        <v>26</v>
      </c>
      <c r="D16" s="7" t="s">
        <v>30</v>
      </c>
      <c r="E16" s="7" t="s">
        <v>31</v>
      </c>
      <c r="F16" s="6">
        <v>45919</v>
      </c>
      <c r="G16" s="7">
        <v>65</v>
      </c>
      <c r="H16" s="7">
        <v>1</v>
      </c>
      <c r="I16" s="7">
        <v>2</v>
      </c>
      <c r="J16" s="14">
        <v>1</v>
      </c>
      <c r="K16" s="14">
        <v>227</v>
      </c>
      <c r="L16" s="14">
        <v>225.95</v>
      </c>
      <c r="M16" s="7" t="s">
        <v>32</v>
      </c>
      <c r="N16" s="14">
        <v>226</v>
      </c>
      <c r="O16" s="17">
        <f t="shared" si="0"/>
        <v>3.4761538461538462E-2</v>
      </c>
      <c r="P16" s="7">
        <v>41</v>
      </c>
      <c r="Q16" s="7">
        <v>31</v>
      </c>
      <c r="R16" s="19">
        <f t="shared" si="1"/>
        <v>6500</v>
      </c>
    </row>
    <row r="17" spans="1:18" x14ac:dyDescent="0.2">
      <c r="A17" s="5">
        <v>1</v>
      </c>
      <c r="B17" s="6">
        <v>45888</v>
      </c>
      <c r="C17" s="7" t="s">
        <v>26</v>
      </c>
      <c r="D17" s="7" t="s">
        <v>30</v>
      </c>
      <c r="E17" s="7" t="s">
        <v>31</v>
      </c>
      <c r="F17" s="6">
        <v>45919</v>
      </c>
      <c r="G17" s="7">
        <v>65</v>
      </c>
      <c r="H17" s="7">
        <v>1</v>
      </c>
      <c r="I17" s="7">
        <v>2</v>
      </c>
      <c r="J17" s="14">
        <v>0</v>
      </c>
      <c r="K17" s="14">
        <v>227</v>
      </c>
      <c r="L17" s="14">
        <v>226.65</v>
      </c>
      <c r="M17" s="7" t="s">
        <v>32</v>
      </c>
      <c r="N17" s="14">
        <v>227</v>
      </c>
      <c r="O17" s="17">
        <f t="shared" si="0"/>
        <v>3.486923076923077E-2</v>
      </c>
      <c r="P17" s="7">
        <v>41</v>
      </c>
      <c r="Q17" s="7">
        <v>31</v>
      </c>
      <c r="R17" s="19">
        <f t="shared" si="1"/>
        <v>6500</v>
      </c>
    </row>
    <row r="18" spans="1:18" x14ac:dyDescent="0.2">
      <c r="A18" s="5">
        <v>2</v>
      </c>
      <c r="B18" s="6">
        <v>45898</v>
      </c>
      <c r="C18" s="7" t="s">
        <v>38</v>
      </c>
      <c r="D18" s="7" t="s">
        <v>30</v>
      </c>
      <c r="E18" s="7" t="s">
        <v>31</v>
      </c>
      <c r="F18" s="6">
        <v>45905</v>
      </c>
      <c r="G18" s="7">
        <v>193</v>
      </c>
      <c r="H18" s="7">
        <v>1</v>
      </c>
      <c r="I18" s="7">
        <v>3</v>
      </c>
      <c r="J18" s="14">
        <v>1</v>
      </c>
      <c r="K18" s="14">
        <v>343</v>
      </c>
      <c r="L18" s="14">
        <v>341.95</v>
      </c>
      <c r="M18" s="7" t="s">
        <v>32</v>
      </c>
      <c r="N18" s="14">
        <v>342</v>
      </c>
      <c r="O18" s="17">
        <f t="shared" si="0"/>
        <v>1.7717616580310881E-2</v>
      </c>
      <c r="P18" s="7">
        <v>93</v>
      </c>
      <c r="Q18" s="7">
        <v>7</v>
      </c>
      <c r="R18" s="19">
        <f t="shared" si="1"/>
        <v>19300</v>
      </c>
    </row>
    <row r="19" spans="1:18" x14ac:dyDescent="0.2">
      <c r="A19" s="5">
        <v>3</v>
      </c>
      <c r="B19" s="6">
        <v>45903</v>
      </c>
      <c r="C19" s="7" t="s">
        <v>28</v>
      </c>
      <c r="D19" s="7" t="s">
        <v>30</v>
      </c>
      <c r="E19" s="7" t="s">
        <v>31</v>
      </c>
      <c r="F19" s="6">
        <v>45919</v>
      </c>
      <c r="G19" s="7">
        <v>34</v>
      </c>
      <c r="H19" s="7">
        <v>1</v>
      </c>
      <c r="I19" s="7">
        <v>2</v>
      </c>
      <c r="J19" s="14">
        <v>1</v>
      </c>
      <c r="K19" s="14">
        <v>151</v>
      </c>
      <c r="L19" s="14">
        <v>150.30000000000001</v>
      </c>
      <c r="M19" s="7" t="s">
        <v>32</v>
      </c>
      <c r="N19" s="14">
        <v>150</v>
      </c>
      <c r="O19" s="17">
        <f t="shared" si="0"/>
        <v>4.4205882352941178E-2</v>
      </c>
      <c r="P19" s="7">
        <v>101</v>
      </c>
      <c r="Q19" s="7">
        <v>16</v>
      </c>
      <c r="R19" s="19">
        <f t="shared" si="1"/>
        <v>3400</v>
      </c>
    </row>
    <row r="20" spans="1:18" x14ac:dyDescent="0.2">
      <c r="A20" s="5">
        <v>3</v>
      </c>
      <c r="B20" s="6">
        <v>45903</v>
      </c>
      <c r="C20" s="7" t="s">
        <v>28</v>
      </c>
      <c r="D20" s="7" t="s">
        <v>30</v>
      </c>
      <c r="E20" s="7" t="s">
        <v>31</v>
      </c>
      <c r="F20" s="6">
        <v>45919</v>
      </c>
      <c r="G20" s="7">
        <v>34</v>
      </c>
      <c r="H20" s="7">
        <v>1</v>
      </c>
      <c r="I20" s="7">
        <v>2</v>
      </c>
      <c r="J20" s="14">
        <v>0</v>
      </c>
      <c r="K20" s="14">
        <v>151</v>
      </c>
      <c r="L20" s="14">
        <v>150.65</v>
      </c>
      <c r="M20" s="7" t="s">
        <v>32</v>
      </c>
      <c r="N20" s="14">
        <v>151</v>
      </c>
      <c r="O20" s="17">
        <f t="shared" si="0"/>
        <v>4.4308823529411769E-2</v>
      </c>
      <c r="P20" s="7">
        <v>101</v>
      </c>
      <c r="Q20" s="7">
        <v>16</v>
      </c>
      <c r="R20" s="19">
        <f t="shared" si="1"/>
        <v>3400</v>
      </c>
    </row>
    <row r="21" spans="1:18" x14ac:dyDescent="0.2">
      <c r="A21" s="5">
        <v>3</v>
      </c>
      <c r="B21" s="6">
        <v>45903</v>
      </c>
      <c r="C21" s="7" t="s">
        <v>28</v>
      </c>
      <c r="D21" s="7" t="s">
        <v>30</v>
      </c>
      <c r="E21" s="7" t="s">
        <v>31</v>
      </c>
      <c r="F21" s="6">
        <v>45919</v>
      </c>
      <c r="G21" s="7">
        <v>34</v>
      </c>
      <c r="H21" s="7">
        <v>1</v>
      </c>
      <c r="I21" s="7">
        <v>2</v>
      </c>
      <c r="J21" s="14">
        <v>1</v>
      </c>
      <c r="K21" s="14">
        <v>151</v>
      </c>
      <c r="L21" s="14">
        <v>149.94999999999999</v>
      </c>
      <c r="M21" s="7" t="s">
        <v>32</v>
      </c>
      <c r="N21" s="14">
        <v>150</v>
      </c>
      <c r="O21" s="17">
        <f t="shared" si="0"/>
        <v>4.4102941176470588E-2</v>
      </c>
      <c r="P21" s="7">
        <v>101</v>
      </c>
      <c r="Q21" s="7">
        <v>16</v>
      </c>
      <c r="R21" s="19">
        <f t="shared" si="1"/>
        <v>3400</v>
      </c>
    </row>
    <row r="22" spans="1:18" x14ac:dyDescent="0.2">
      <c r="A22" s="5">
        <v>4</v>
      </c>
      <c r="B22" s="6">
        <v>45908</v>
      </c>
      <c r="C22" s="7" t="s">
        <v>38</v>
      </c>
      <c r="D22" s="7" t="s">
        <v>30</v>
      </c>
      <c r="E22" s="7" t="s">
        <v>31</v>
      </c>
      <c r="F22" s="6">
        <v>45912</v>
      </c>
      <c r="G22" s="7">
        <v>235</v>
      </c>
      <c r="H22" s="7">
        <v>1</v>
      </c>
      <c r="I22" s="7">
        <v>2</v>
      </c>
      <c r="J22" s="14">
        <v>1</v>
      </c>
      <c r="K22" s="14">
        <v>243</v>
      </c>
      <c r="L22" s="14">
        <v>241.95</v>
      </c>
      <c r="M22" s="7" t="s">
        <v>32</v>
      </c>
      <c r="N22" s="14">
        <v>242</v>
      </c>
      <c r="O22" s="17">
        <f t="shared" si="0"/>
        <v>1.0295744680851064E-2</v>
      </c>
      <c r="P22" s="7">
        <v>94</v>
      </c>
      <c r="Q22" s="7">
        <v>4</v>
      </c>
      <c r="R22" s="19">
        <f t="shared" si="1"/>
        <v>23500</v>
      </c>
    </row>
    <row r="23" spans="1:18" x14ac:dyDescent="0.2">
      <c r="A23" s="5">
        <v>4</v>
      </c>
      <c r="B23" s="6">
        <v>45908</v>
      </c>
      <c r="C23" s="7" t="s">
        <v>38</v>
      </c>
      <c r="D23" s="7" t="s">
        <v>30</v>
      </c>
      <c r="E23" s="7" t="s">
        <v>31</v>
      </c>
      <c r="F23" s="6">
        <v>45912</v>
      </c>
      <c r="G23" s="7">
        <v>225</v>
      </c>
      <c r="H23" s="7">
        <v>1</v>
      </c>
      <c r="I23" s="7">
        <v>1</v>
      </c>
      <c r="J23" s="14">
        <v>1</v>
      </c>
      <c r="K23" s="14">
        <v>94</v>
      </c>
      <c r="L23" s="14">
        <v>92.95</v>
      </c>
      <c r="M23" s="7" t="s">
        <v>32</v>
      </c>
      <c r="N23" s="14">
        <v>93</v>
      </c>
      <c r="O23" s="17">
        <f t="shared" si="0"/>
        <v>4.1311111111111114E-3</v>
      </c>
      <c r="P23" s="7">
        <v>38</v>
      </c>
      <c r="Q23" s="7">
        <v>4</v>
      </c>
      <c r="R23" s="19">
        <f t="shared" si="1"/>
        <v>22500</v>
      </c>
    </row>
    <row r="24" spans="1:18" x14ac:dyDescent="0.2">
      <c r="A24" s="5">
        <v>5</v>
      </c>
      <c r="B24" s="6">
        <v>45911</v>
      </c>
      <c r="C24" s="7" t="s">
        <v>28</v>
      </c>
      <c r="D24" s="7" t="s">
        <v>30</v>
      </c>
      <c r="E24" s="7" t="s">
        <v>31</v>
      </c>
      <c r="F24" s="6">
        <v>45919</v>
      </c>
      <c r="G24" s="7">
        <v>35</v>
      </c>
      <c r="H24" s="7">
        <v>2</v>
      </c>
      <c r="I24" s="7">
        <v>1</v>
      </c>
      <c r="J24" s="14">
        <v>-0.59</v>
      </c>
      <c r="K24" s="14">
        <v>130</v>
      </c>
      <c r="L24" s="14">
        <v>130.59</v>
      </c>
      <c r="M24" s="7" t="s">
        <v>32</v>
      </c>
      <c r="N24" s="14">
        <v>131</v>
      </c>
      <c r="O24" s="17">
        <f t="shared" si="0"/>
        <v>1.8655714285714286E-2</v>
      </c>
      <c r="P24" s="7">
        <v>85</v>
      </c>
      <c r="Q24" s="7">
        <v>8</v>
      </c>
      <c r="R24" s="19">
        <f t="shared" si="1"/>
        <v>7000</v>
      </c>
    </row>
    <row r="25" spans="1:18" x14ac:dyDescent="0.2">
      <c r="A25" s="5">
        <v>5</v>
      </c>
      <c r="B25" s="6">
        <v>45911</v>
      </c>
      <c r="C25" s="7" t="s">
        <v>53</v>
      </c>
      <c r="D25" s="7" t="s">
        <v>30</v>
      </c>
      <c r="E25" s="7" t="s">
        <v>31</v>
      </c>
      <c r="F25" s="6">
        <v>45919</v>
      </c>
      <c r="G25" s="7">
        <v>270</v>
      </c>
      <c r="H25" s="7">
        <v>1</v>
      </c>
      <c r="I25" s="7">
        <v>3</v>
      </c>
      <c r="J25" s="14">
        <v>1</v>
      </c>
      <c r="K25" s="14">
        <v>327</v>
      </c>
      <c r="L25" s="14">
        <v>325.95</v>
      </c>
      <c r="M25" s="7" t="s">
        <v>32</v>
      </c>
      <c r="N25" s="14">
        <v>326</v>
      </c>
      <c r="O25" s="17">
        <f t="shared" si="0"/>
        <v>1.2072222222222222E-2</v>
      </c>
      <c r="P25" s="7">
        <v>55</v>
      </c>
      <c r="Q25" s="7">
        <v>8</v>
      </c>
      <c r="R25" s="19">
        <f t="shared" si="1"/>
        <v>27000</v>
      </c>
    </row>
    <row r="26" spans="1:18" x14ac:dyDescent="0.2">
      <c r="A26" s="5">
        <v>5</v>
      </c>
      <c r="B26" s="6">
        <v>45911</v>
      </c>
      <c r="C26" s="7" t="s">
        <v>26</v>
      </c>
      <c r="D26" s="7" t="s">
        <v>30</v>
      </c>
      <c r="E26" s="7" t="s">
        <v>31</v>
      </c>
      <c r="F26" s="6">
        <v>45919</v>
      </c>
      <c r="G26" s="7">
        <v>80</v>
      </c>
      <c r="H26" s="7">
        <v>1</v>
      </c>
      <c r="I26" s="7">
        <v>1</v>
      </c>
      <c r="J26" s="14">
        <v>1</v>
      </c>
      <c r="K26" s="14">
        <v>110</v>
      </c>
      <c r="L26" s="14">
        <v>108.65</v>
      </c>
      <c r="M26" s="7" t="s">
        <v>32</v>
      </c>
      <c r="N26" s="14">
        <v>109</v>
      </c>
      <c r="O26" s="17">
        <f t="shared" si="0"/>
        <v>1.3581250000000001E-2</v>
      </c>
      <c r="P26" s="7">
        <v>63</v>
      </c>
      <c r="Q26" s="7">
        <v>8</v>
      </c>
      <c r="R26" s="19">
        <f t="shared" si="1"/>
        <v>8000</v>
      </c>
    </row>
    <row r="27" spans="1:18" x14ac:dyDescent="0.2">
      <c r="A27" s="5">
        <v>5</v>
      </c>
      <c r="B27" s="6">
        <v>45911</v>
      </c>
      <c r="C27" s="7" t="s">
        <v>26</v>
      </c>
      <c r="D27" s="7" t="s">
        <v>30</v>
      </c>
      <c r="E27" s="7" t="s">
        <v>31</v>
      </c>
      <c r="F27" s="6">
        <v>45919</v>
      </c>
      <c r="G27" s="7">
        <v>80</v>
      </c>
      <c r="H27" s="7">
        <v>1</v>
      </c>
      <c r="I27" s="7">
        <v>1</v>
      </c>
      <c r="J27" s="14">
        <v>2</v>
      </c>
      <c r="K27" s="14">
        <v>100</v>
      </c>
      <c r="L27" s="14">
        <v>97.95</v>
      </c>
      <c r="M27" s="7" t="s">
        <v>32</v>
      </c>
      <c r="N27" s="14">
        <v>98</v>
      </c>
      <c r="O27" s="17">
        <f t="shared" si="0"/>
        <v>1.2243750000000001E-2</v>
      </c>
      <c r="P27" s="7">
        <v>57</v>
      </c>
      <c r="Q27" s="7">
        <v>8</v>
      </c>
      <c r="R27" s="19">
        <f t="shared" si="1"/>
        <v>8000</v>
      </c>
    </row>
    <row r="28" spans="1:18" x14ac:dyDescent="0.2">
      <c r="A28" s="5">
        <v>6</v>
      </c>
      <c r="B28" s="6">
        <v>45915</v>
      </c>
      <c r="C28" s="7" t="s">
        <v>38</v>
      </c>
      <c r="D28" s="7" t="s">
        <v>30</v>
      </c>
      <c r="E28" s="7" t="s">
        <v>31</v>
      </c>
      <c r="F28" s="6">
        <v>45919</v>
      </c>
      <c r="G28" s="7">
        <v>240</v>
      </c>
      <c r="H28" s="7">
        <v>1</v>
      </c>
      <c r="I28" s="7">
        <v>4</v>
      </c>
      <c r="J28" s="14">
        <v>1</v>
      </c>
      <c r="K28" s="14">
        <v>379</v>
      </c>
      <c r="L28" s="14">
        <v>377.95</v>
      </c>
      <c r="M28" s="7" t="s">
        <v>32</v>
      </c>
      <c r="N28" s="14">
        <v>378</v>
      </c>
      <c r="O28" s="17">
        <f t="shared" si="0"/>
        <v>1.5747916666666667E-2</v>
      </c>
      <c r="P28" s="7">
        <v>144</v>
      </c>
      <c r="Q28" s="7">
        <v>4</v>
      </c>
      <c r="R28" s="19">
        <f t="shared" si="1"/>
        <v>24000</v>
      </c>
    </row>
    <row r="29" spans="1:18" x14ac:dyDescent="0.2">
      <c r="A29" s="5"/>
      <c r="B29" s="6">
        <v>45919</v>
      </c>
      <c r="C29" s="7" t="s">
        <v>17</v>
      </c>
      <c r="D29" s="7" t="s">
        <v>2</v>
      </c>
      <c r="E29" s="7" t="s">
        <v>18</v>
      </c>
      <c r="F29" s="7"/>
      <c r="G29" s="7"/>
      <c r="H29" s="7">
        <v>100</v>
      </c>
      <c r="I29" s="7">
        <v>290</v>
      </c>
      <c r="J29" s="14">
        <v>0</v>
      </c>
      <c r="K29" s="14">
        <v>29000</v>
      </c>
      <c r="L29" s="14">
        <v>28999.98</v>
      </c>
      <c r="M29" s="7" t="s">
        <v>18</v>
      </c>
      <c r="N29" s="14"/>
      <c r="O29" s="17" t="str">
        <f t="shared" si="0"/>
        <v/>
      </c>
      <c r="P29" s="7"/>
      <c r="Q29" s="7"/>
      <c r="R29" s="1">
        <f t="shared" si="1"/>
        <v>0</v>
      </c>
    </row>
    <row r="30" spans="1:18" x14ac:dyDescent="0.2">
      <c r="A30" s="5">
        <v>7</v>
      </c>
      <c r="B30" s="6">
        <v>45922</v>
      </c>
      <c r="C30" s="7" t="s">
        <v>54</v>
      </c>
      <c r="D30" s="7" t="s">
        <v>30</v>
      </c>
      <c r="E30" s="7" t="s">
        <v>31</v>
      </c>
      <c r="F30" s="6">
        <v>45947</v>
      </c>
      <c r="G30" s="7">
        <v>103</v>
      </c>
      <c r="H30" s="7">
        <v>1</v>
      </c>
      <c r="I30" s="7">
        <v>3</v>
      </c>
      <c r="J30" s="14">
        <v>1</v>
      </c>
      <c r="K30" s="14">
        <v>258</v>
      </c>
      <c r="L30" s="14">
        <v>257.29000000000002</v>
      </c>
      <c r="M30" s="7" t="s">
        <v>32</v>
      </c>
      <c r="N30" s="14">
        <v>257</v>
      </c>
      <c r="O30" s="17">
        <f t="shared" si="0"/>
        <v>2.4979611650485439E-2</v>
      </c>
      <c r="P30" s="7">
        <v>37</v>
      </c>
      <c r="Q30" s="7">
        <v>25</v>
      </c>
      <c r="R30" s="19">
        <f t="shared" si="1"/>
        <v>10300</v>
      </c>
    </row>
    <row r="31" spans="1:18" x14ac:dyDescent="0.2">
      <c r="A31" s="5">
        <v>7</v>
      </c>
      <c r="B31" s="6">
        <v>45922</v>
      </c>
      <c r="C31" s="7" t="s">
        <v>54</v>
      </c>
      <c r="D31" s="7" t="s">
        <v>30</v>
      </c>
      <c r="E31" s="7" t="s">
        <v>31</v>
      </c>
      <c r="F31" s="6">
        <v>45947</v>
      </c>
      <c r="G31" s="7">
        <v>103</v>
      </c>
      <c r="H31" s="7">
        <v>1</v>
      </c>
      <c r="I31" s="7">
        <v>3</v>
      </c>
      <c r="J31" s="14">
        <v>1</v>
      </c>
      <c r="K31" s="14">
        <v>258</v>
      </c>
      <c r="L31" s="14">
        <v>256.94</v>
      </c>
      <c r="M31" s="7" t="s">
        <v>32</v>
      </c>
      <c r="N31" s="14">
        <v>257</v>
      </c>
      <c r="O31" s="17">
        <f t="shared" si="0"/>
        <v>2.4945631067961164E-2</v>
      </c>
      <c r="P31" s="7">
        <v>37</v>
      </c>
      <c r="Q31" s="7">
        <v>25</v>
      </c>
      <c r="R31" s="19">
        <f t="shared" si="1"/>
        <v>10300</v>
      </c>
    </row>
    <row r="32" spans="1:18" x14ac:dyDescent="0.2">
      <c r="A32" s="5">
        <v>7</v>
      </c>
      <c r="B32" s="6">
        <v>45922</v>
      </c>
      <c r="C32" s="7" t="s">
        <v>54</v>
      </c>
      <c r="D32" s="7" t="s">
        <v>30</v>
      </c>
      <c r="E32" s="7" t="s">
        <v>31</v>
      </c>
      <c r="F32" s="6">
        <v>45947</v>
      </c>
      <c r="G32" s="7">
        <v>103</v>
      </c>
      <c r="H32" s="7">
        <v>1</v>
      </c>
      <c r="I32" s="7">
        <v>3</v>
      </c>
      <c r="J32" s="14">
        <v>0</v>
      </c>
      <c r="K32" s="14">
        <v>258</v>
      </c>
      <c r="L32" s="14">
        <v>257.64</v>
      </c>
      <c r="M32" s="7" t="s">
        <v>32</v>
      </c>
      <c r="N32" s="14">
        <v>258</v>
      </c>
      <c r="O32" s="17">
        <f t="shared" si="0"/>
        <v>2.5013592233009706E-2</v>
      </c>
      <c r="P32" s="7">
        <v>37</v>
      </c>
      <c r="Q32" s="7">
        <v>25</v>
      </c>
      <c r="R32" s="19">
        <f t="shared" si="1"/>
        <v>10300</v>
      </c>
    </row>
    <row r="33" spans="1:18" x14ac:dyDescent="0.2">
      <c r="A33" s="5">
        <v>7</v>
      </c>
      <c r="B33" s="6">
        <v>45922</v>
      </c>
      <c r="C33" s="7" t="s">
        <v>38</v>
      </c>
      <c r="D33" s="7" t="s">
        <v>30</v>
      </c>
      <c r="E33" s="7" t="s">
        <v>31</v>
      </c>
      <c r="F33" s="6">
        <v>45947</v>
      </c>
      <c r="G33" s="7">
        <v>215</v>
      </c>
      <c r="H33" s="7">
        <v>1</v>
      </c>
      <c r="I33" s="7">
        <v>3</v>
      </c>
      <c r="J33" s="14">
        <v>1</v>
      </c>
      <c r="K33" s="14">
        <v>343</v>
      </c>
      <c r="L33" s="14">
        <v>341.95</v>
      </c>
      <c r="M33" s="7" t="s">
        <v>32</v>
      </c>
      <c r="N33" s="14">
        <v>342</v>
      </c>
      <c r="O33" s="17">
        <f t="shared" si="0"/>
        <v>1.5904651162790696E-2</v>
      </c>
      <c r="P33" s="7">
        <v>23</v>
      </c>
      <c r="Q33" s="7">
        <v>25</v>
      </c>
      <c r="R33" s="19">
        <f t="shared" si="1"/>
        <v>21500</v>
      </c>
    </row>
    <row r="34" spans="1:18" x14ac:dyDescent="0.2">
      <c r="A34" s="5">
        <v>7</v>
      </c>
      <c r="B34" s="6">
        <v>45922</v>
      </c>
      <c r="C34" s="7" t="s">
        <v>48</v>
      </c>
      <c r="D34" s="7" t="s">
        <v>30</v>
      </c>
      <c r="E34" s="7" t="s">
        <v>31</v>
      </c>
      <c r="F34" s="6">
        <v>45947</v>
      </c>
      <c r="G34" s="7">
        <v>28</v>
      </c>
      <c r="H34" s="7">
        <v>2</v>
      </c>
      <c r="I34" s="7">
        <v>0</v>
      </c>
      <c r="J34" s="14">
        <v>1</v>
      </c>
      <c r="K34" s="14">
        <v>94</v>
      </c>
      <c r="L34" s="14">
        <v>92.59</v>
      </c>
      <c r="M34" s="7" t="s">
        <v>32</v>
      </c>
      <c r="N34" s="14">
        <v>93</v>
      </c>
      <c r="O34" s="17">
        <f t="shared" si="0"/>
        <v>1.6533928571428571E-2</v>
      </c>
      <c r="P34" s="7">
        <v>25</v>
      </c>
      <c r="Q34" s="7">
        <v>25</v>
      </c>
      <c r="R34" s="19">
        <f t="shared" si="1"/>
        <v>5600</v>
      </c>
    </row>
    <row r="35" spans="1:18" x14ac:dyDescent="0.2">
      <c r="A35" s="5">
        <v>7</v>
      </c>
      <c r="B35" s="6">
        <v>45922</v>
      </c>
      <c r="C35" s="7" t="s">
        <v>48</v>
      </c>
      <c r="D35" s="7" t="s">
        <v>30</v>
      </c>
      <c r="E35" s="7" t="s">
        <v>31</v>
      </c>
      <c r="F35" s="6">
        <v>45947</v>
      </c>
      <c r="G35" s="7">
        <v>28</v>
      </c>
      <c r="H35" s="7">
        <v>1</v>
      </c>
      <c r="I35" s="7">
        <v>0</v>
      </c>
      <c r="J35" s="14">
        <v>1</v>
      </c>
      <c r="K35" s="14">
        <v>47</v>
      </c>
      <c r="L35" s="14">
        <v>46.3</v>
      </c>
      <c r="M35" s="7" t="s">
        <v>32</v>
      </c>
      <c r="N35" s="14">
        <v>46</v>
      </c>
      <c r="O35" s="17">
        <f t="shared" si="0"/>
        <v>1.6535714285714286E-2</v>
      </c>
      <c r="P35" s="7">
        <v>25</v>
      </c>
      <c r="Q35" s="7">
        <v>25</v>
      </c>
      <c r="R35" s="19">
        <f t="shared" si="1"/>
        <v>2800</v>
      </c>
    </row>
    <row r="36" spans="1:18" x14ac:dyDescent="0.2">
      <c r="A36" s="5">
        <v>7</v>
      </c>
      <c r="B36" s="6">
        <v>45922</v>
      </c>
      <c r="C36" s="7" t="s">
        <v>27</v>
      </c>
      <c r="D36" s="7" t="s">
        <v>30</v>
      </c>
      <c r="E36" s="7" t="s">
        <v>31</v>
      </c>
      <c r="F36" s="6">
        <v>45947</v>
      </c>
      <c r="G36" s="7">
        <v>15</v>
      </c>
      <c r="H36" s="7">
        <v>1</v>
      </c>
      <c r="I36" s="7">
        <v>0</v>
      </c>
      <c r="J36" s="14">
        <v>0</v>
      </c>
      <c r="K36" s="14">
        <v>30</v>
      </c>
      <c r="L36" s="14">
        <v>29.65</v>
      </c>
      <c r="M36" s="7" t="s">
        <v>32</v>
      </c>
      <c r="N36" s="14">
        <v>30</v>
      </c>
      <c r="O36" s="17">
        <f t="shared" si="0"/>
        <v>1.9766666666666665E-2</v>
      </c>
      <c r="P36" s="7">
        <v>29</v>
      </c>
      <c r="Q36" s="7">
        <v>25</v>
      </c>
      <c r="R36" s="19">
        <f t="shared" si="1"/>
        <v>1500</v>
      </c>
    </row>
    <row r="37" spans="1:18" x14ac:dyDescent="0.2">
      <c r="A37" s="5">
        <v>7</v>
      </c>
      <c r="B37" s="6">
        <v>45922</v>
      </c>
      <c r="C37" s="7" t="s">
        <v>27</v>
      </c>
      <c r="D37" s="7" t="s">
        <v>30</v>
      </c>
      <c r="E37" s="7" t="s">
        <v>31</v>
      </c>
      <c r="F37" s="6">
        <v>45947</v>
      </c>
      <c r="G37" s="7">
        <v>15</v>
      </c>
      <c r="H37" s="7">
        <v>1</v>
      </c>
      <c r="I37" s="7">
        <v>0</v>
      </c>
      <c r="J37" s="14">
        <v>1</v>
      </c>
      <c r="K37" s="14">
        <v>30</v>
      </c>
      <c r="L37" s="14">
        <v>28.95</v>
      </c>
      <c r="M37" s="7" t="s">
        <v>32</v>
      </c>
      <c r="N37" s="14">
        <v>29</v>
      </c>
      <c r="O37" s="17">
        <f t="shared" si="0"/>
        <v>1.9300000000000001E-2</v>
      </c>
      <c r="P37" s="7">
        <v>29</v>
      </c>
      <c r="Q37" s="7">
        <v>25</v>
      </c>
      <c r="R37" s="19">
        <f t="shared" si="1"/>
        <v>1500</v>
      </c>
    </row>
    <row r="38" spans="1:18" x14ac:dyDescent="0.2">
      <c r="A38" s="5">
        <v>7</v>
      </c>
      <c r="B38" s="6">
        <v>45922</v>
      </c>
      <c r="C38" s="7" t="s">
        <v>55</v>
      </c>
      <c r="D38" s="7" t="s">
        <v>30</v>
      </c>
      <c r="E38" s="7" t="s">
        <v>31</v>
      </c>
      <c r="F38" s="6">
        <v>45947</v>
      </c>
      <c r="G38" s="7">
        <v>60</v>
      </c>
      <c r="H38" s="7">
        <v>1</v>
      </c>
      <c r="I38" s="7">
        <v>3</v>
      </c>
      <c r="J38" s="14">
        <v>0</v>
      </c>
      <c r="K38" s="14">
        <v>280</v>
      </c>
      <c r="L38" s="14">
        <v>279.64999999999998</v>
      </c>
      <c r="M38" s="7" t="s">
        <v>32</v>
      </c>
      <c r="N38" s="14">
        <v>280</v>
      </c>
      <c r="O38" s="17">
        <f t="shared" si="0"/>
        <v>4.6608333333333328E-2</v>
      </c>
      <c r="P38" s="7">
        <v>68</v>
      </c>
      <c r="Q38" s="7">
        <v>25</v>
      </c>
      <c r="R38" s="19">
        <f t="shared" si="1"/>
        <v>6000</v>
      </c>
    </row>
    <row r="39" spans="1:18" x14ac:dyDescent="0.2">
      <c r="A39" s="5">
        <v>7</v>
      </c>
      <c r="B39" s="6">
        <v>45922</v>
      </c>
      <c r="C39" s="7" t="s">
        <v>55</v>
      </c>
      <c r="D39" s="7" t="s">
        <v>30</v>
      </c>
      <c r="E39" s="7" t="s">
        <v>31</v>
      </c>
      <c r="F39" s="6">
        <v>45947</v>
      </c>
      <c r="G39" s="7">
        <v>60</v>
      </c>
      <c r="H39" s="7">
        <v>1</v>
      </c>
      <c r="I39" s="7">
        <v>3</v>
      </c>
      <c r="J39" s="14">
        <v>1</v>
      </c>
      <c r="K39" s="14">
        <v>280</v>
      </c>
      <c r="L39" s="14">
        <v>278.95</v>
      </c>
      <c r="M39" s="7" t="s">
        <v>32</v>
      </c>
      <c r="N39" s="14">
        <v>279</v>
      </c>
      <c r="O39" s="17">
        <f t="shared" si="0"/>
        <v>4.6491666666666667E-2</v>
      </c>
      <c r="P39" s="7">
        <v>68</v>
      </c>
      <c r="Q39" s="7">
        <v>25</v>
      </c>
      <c r="R39" s="19">
        <f t="shared" si="1"/>
        <v>6000</v>
      </c>
    </row>
    <row r="40" spans="1:18" x14ac:dyDescent="0.2">
      <c r="A40" s="5">
        <v>7</v>
      </c>
      <c r="B40" s="6">
        <v>45922</v>
      </c>
      <c r="C40" s="7" t="s">
        <v>38</v>
      </c>
      <c r="D40" s="7" t="s">
        <v>30</v>
      </c>
      <c r="E40" s="7" t="s">
        <v>31</v>
      </c>
      <c r="F40" s="6">
        <v>45947</v>
      </c>
      <c r="G40" s="7">
        <v>210</v>
      </c>
      <c r="H40" s="7">
        <v>2</v>
      </c>
      <c r="I40" s="7">
        <v>3</v>
      </c>
      <c r="J40" s="14">
        <v>-0.59</v>
      </c>
      <c r="K40" s="14">
        <v>540</v>
      </c>
      <c r="L40" s="14">
        <v>540.59</v>
      </c>
      <c r="M40" s="7" t="s">
        <v>32</v>
      </c>
      <c r="N40" s="14">
        <v>541</v>
      </c>
      <c r="O40" s="17">
        <f t="shared" si="0"/>
        <v>1.2871190476190477E-2</v>
      </c>
      <c r="P40" s="7">
        <v>19</v>
      </c>
      <c r="Q40" s="7">
        <v>25</v>
      </c>
      <c r="R40" s="19">
        <f t="shared" si="1"/>
        <v>42000</v>
      </c>
    </row>
    <row r="41" spans="1:18" x14ac:dyDescent="0.2">
      <c r="A41" s="5">
        <v>7</v>
      </c>
      <c r="B41" s="6">
        <v>45922</v>
      </c>
      <c r="C41" s="7" t="s">
        <v>22</v>
      </c>
      <c r="D41" s="7" t="s">
        <v>30</v>
      </c>
      <c r="E41" s="7" t="s">
        <v>31</v>
      </c>
      <c r="F41" s="6">
        <v>45947</v>
      </c>
      <c r="G41" s="7">
        <v>35</v>
      </c>
      <c r="H41" s="7">
        <v>2</v>
      </c>
      <c r="I41" s="7">
        <v>1</v>
      </c>
      <c r="J41" s="14">
        <v>1</v>
      </c>
      <c r="K41" s="14">
        <v>178</v>
      </c>
      <c r="L41" s="14">
        <v>176.59</v>
      </c>
      <c r="M41" s="7" t="s">
        <v>46</v>
      </c>
      <c r="N41" s="14">
        <v>177</v>
      </c>
      <c r="O41" s="17">
        <f t="shared" si="0"/>
        <v>2.5227142857142858E-2</v>
      </c>
      <c r="P41" s="7">
        <v>37</v>
      </c>
      <c r="Q41" s="7">
        <v>25</v>
      </c>
      <c r="R41" s="19">
        <f t="shared" si="1"/>
        <v>7000</v>
      </c>
    </row>
    <row r="42" spans="1:18" x14ac:dyDescent="0.2">
      <c r="A42" s="5">
        <v>7</v>
      </c>
      <c r="B42" s="6">
        <v>45922</v>
      </c>
      <c r="C42" s="7" t="s">
        <v>22</v>
      </c>
      <c r="D42" s="7" t="s">
        <v>30</v>
      </c>
      <c r="E42" s="7" t="s">
        <v>31</v>
      </c>
      <c r="F42" s="6">
        <v>45947</v>
      </c>
      <c r="G42" s="7">
        <v>35</v>
      </c>
      <c r="H42" s="7">
        <v>1</v>
      </c>
      <c r="I42" s="7">
        <v>1</v>
      </c>
      <c r="J42" s="14">
        <v>-0.3</v>
      </c>
      <c r="K42" s="14">
        <v>89</v>
      </c>
      <c r="L42" s="14">
        <v>89.3</v>
      </c>
      <c r="M42" s="7" t="s">
        <v>46</v>
      </c>
      <c r="N42" s="14">
        <v>89</v>
      </c>
      <c r="O42" s="17">
        <f t="shared" si="0"/>
        <v>2.5514285714285715E-2</v>
      </c>
      <c r="P42" s="7">
        <v>37</v>
      </c>
      <c r="Q42" s="7">
        <v>25</v>
      </c>
      <c r="R42" s="19">
        <f t="shared" si="1"/>
        <v>3500</v>
      </c>
    </row>
    <row r="43" spans="1:18" x14ac:dyDescent="0.2">
      <c r="A43" s="5">
        <v>7</v>
      </c>
      <c r="B43" s="6">
        <v>45922</v>
      </c>
      <c r="C43" s="7" t="s">
        <v>37</v>
      </c>
      <c r="D43" s="7" t="s">
        <v>30</v>
      </c>
      <c r="E43" s="7" t="s">
        <v>31</v>
      </c>
      <c r="F43" s="6">
        <v>45947</v>
      </c>
      <c r="G43" s="7">
        <v>38</v>
      </c>
      <c r="H43" s="7">
        <v>1</v>
      </c>
      <c r="I43" s="7">
        <v>1</v>
      </c>
      <c r="J43" s="14">
        <v>0</v>
      </c>
      <c r="K43" s="14">
        <v>87</v>
      </c>
      <c r="L43" s="14">
        <v>86.65</v>
      </c>
      <c r="M43" s="7" t="s">
        <v>32</v>
      </c>
      <c r="N43" s="14">
        <v>87</v>
      </c>
      <c r="O43" s="17">
        <f t="shared" si="0"/>
        <v>2.280263157894737E-2</v>
      </c>
      <c r="P43" s="7">
        <v>33</v>
      </c>
      <c r="Q43" s="7">
        <v>25</v>
      </c>
      <c r="R43" s="19">
        <f t="shared" si="1"/>
        <v>3800</v>
      </c>
    </row>
    <row r="44" spans="1:18" x14ac:dyDescent="0.2">
      <c r="A44" s="5">
        <v>7</v>
      </c>
      <c r="B44" s="6">
        <v>45922</v>
      </c>
      <c r="C44" s="7" t="s">
        <v>37</v>
      </c>
      <c r="D44" s="7" t="s">
        <v>30</v>
      </c>
      <c r="E44" s="7" t="s">
        <v>31</v>
      </c>
      <c r="F44" s="6">
        <v>45947</v>
      </c>
      <c r="G44" s="7">
        <v>38</v>
      </c>
      <c r="H44" s="7">
        <v>2</v>
      </c>
      <c r="I44" s="7">
        <v>1</v>
      </c>
      <c r="J44" s="14">
        <v>1</v>
      </c>
      <c r="K44" s="14">
        <v>174</v>
      </c>
      <c r="L44" s="14">
        <v>172.59</v>
      </c>
      <c r="M44" s="7" t="s">
        <v>32</v>
      </c>
      <c r="N44" s="14">
        <v>173</v>
      </c>
      <c r="O44" s="17">
        <f t="shared" si="0"/>
        <v>2.270921052631579E-2</v>
      </c>
      <c r="P44" s="7">
        <v>33</v>
      </c>
      <c r="Q44" s="7">
        <v>25</v>
      </c>
      <c r="R44" s="19">
        <f t="shared" si="1"/>
        <v>7600</v>
      </c>
    </row>
    <row r="45" spans="1:18" x14ac:dyDescent="0.2">
      <c r="A45" s="5">
        <v>7</v>
      </c>
      <c r="B45" s="6">
        <v>45922</v>
      </c>
      <c r="C45" s="7" t="s">
        <v>37</v>
      </c>
      <c r="D45" s="7" t="s">
        <v>30</v>
      </c>
      <c r="E45" s="7" t="s">
        <v>31</v>
      </c>
      <c r="F45" s="6">
        <v>45947</v>
      </c>
      <c r="G45" s="7">
        <v>38</v>
      </c>
      <c r="H45" s="7">
        <v>1</v>
      </c>
      <c r="I45" s="7">
        <v>1</v>
      </c>
      <c r="J45" s="14">
        <v>1</v>
      </c>
      <c r="K45" s="14">
        <v>87</v>
      </c>
      <c r="L45" s="14">
        <v>85.95</v>
      </c>
      <c r="M45" s="7" t="s">
        <v>32</v>
      </c>
      <c r="N45" s="14">
        <v>86</v>
      </c>
      <c r="O45" s="17">
        <f t="shared" si="0"/>
        <v>2.2618421052631579E-2</v>
      </c>
      <c r="P45" s="7">
        <v>33</v>
      </c>
      <c r="Q45" s="7">
        <v>25</v>
      </c>
      <c r="R45" s="19">
        <f t="shared" si="1"/>
        <v>3800</v>
      </c>
    </row>
    <row r="46" spans="1:18" x14ac:dyDescent="0.2">
      <c r="A46" s="5">
        <v>7</v>
      </c>
      <c r="B46" s="6">
        <v>45922</v>
      </c>
      <c r="C46" s="7" t="s">
        <v>39</v>
      </c>
      <c r="D46" s="7" t="s">
        <v>30</v>
      </c>
      <c r="E46" s="7" t="s">
        <v>31</v>
      </c>
      <c r="F46" s="6">
        <v>45947</v>
      </c>
      <c r="G46" s="7">
        <v>135</v>
      </c>
      <c r="H46" s="7">
        <v>1</v>
      </c>
      <c r="I46" s="7">
        <v>2</v>
      </c>
      <c r="J46" s="14">
        <v>1</v>
      </c>
      <c r="K46" s="14">
        <v>169</v>
      </c>
      <c r="L46" s="14">
        <v>167.95</v>
      </c>
      <c r="M46" s="7" t="s">
        <v>32</v>
      </c>
      <c r="N46" s="14">
        <v>168</v>
      </c>
      <c r="O46" s="17">
        <f t="shared" si="0"/>
        <v>1.244074074074074E-2</v>
      </c>
      <c r="P46" s="7">
        <v>18</v>
      </c>
      <c r="Q46" s="7">
        <v>25</v>
      </c>
      <c r="R46" s="19">
        <f t="shared" si="1"/>
        <v>13500</v>
      </c>
    </row>
    <row r="47" spans="1:18" x14ac:dyDescent="0.2">
      <c r="A47" s="5">
        <v>7</v>
      </c>
      <c r="B47" s="6">
        <v>45922</v>
      </c>
      <c r="C47" s="7" t="s">
        <v>28</v>
      </c>
      <c r="D47" s="7" t="s">
        <v>30</v>
      </c>
      <c r="E47" s="7" t="s">
        <v>31</v>
      </c>
      <c r="F47" s="6">
        <v>45947</v>
      </c>
      <c r="G47" s="7">
        <v>36</v>
      </c>
      <c r="H47" s="7">
        <v>1</v>
      </c>
      <c r="I47" s="7">
        <v>1</v>
      </c>
      <c r="J47" s="14">
        <v>1</v>
      </c>
      <c r="K47" s="14">
        <v>122</v>
      </c>
      <c r="L47" s="14">
        <v>120.95</v>
      </c>
      <c r="M47" s="7" t="s">
        <v>46</v>
      </c>
      <c r="N47" s="14">
        <v>121</v>
      </c>
      <c r="O47" s="17">
        <f t="shared" si="0"/>
        <v>3.3597222222222223E-2</v>
      </c>
      <c r="P47" s="7">
        <v>49</v>
      </c>
      <c r="Q47" s="7">
        <v>25</v>
      </c>
      <c r="R47" s="19">
        <f t="shared" si="1"/>
        <v>3600</v>
      </c>
    </row>
    <row r="48" spans="1:18" x14ac:dyDescent="0.2">
      <c r="A48" s="5">
        <v>7</v>
      </c>
      <c r="B48" s="6">
        <v>45922</v>
      </c>
      <c r="C48" s="7" t="s">
        <v>28</v>
      </c>
      <c r="D48" s="7" t="s">
        <v>30</v>
      </c>
      <c r="E48" s="7" t="s">
        <v>31</v>
      </c>
      <c r="F48" s="6">
        <v>45947</v>
      </c>
      <c r="G48" s="7">
        <v>36</v>
      </c>
      <c r="H48" s="7">
        <v>1</v>
      </c>
      <c r="I48" s="7">
        <v>1</v>
      </c>
      <c r="J48" s="14">
        <v>0</v>
      </c>
      <c r="K48" s="14">
        <v>122</v>
      </c>
      <c r="L48" s="14">
        <v>121.65</v>
      </c>
      <c r="M48" s="7" t="s">
        <v>46</v>
      </c>
      <c r="N48" s="14">
        <v>122</v>
      </c>
      <c r="O48" s="17">
        <f t="shared" si="0"/>
        <v>3.3791666666666671E-2</v>
      </c>
      <c r="P48" s="7">
        <v>49</v>
      </c>
      <c r="Q48" s="7">
        <v>25</v>
      </c>
      <c r="R48" s="19">
        <f t="shared" si="1"/>
        <v>3600</v>
      </c>
    </row>
    <row r="49" spans="1:18" x14ac:dyDescent="0.2">
      <c r="A49" s="5">
        <v>7</v>
      </c>
      <c r="B49" s="6">
        <v>45922</v>
      </c>
      <c r="C49" s="7" t="s">
        <v>26</v>
      </c>
      <c r="D49" s="7" t="s">
        <v>30</v>
      </c>
      <c r="E49" s="7" t="s">
        <v>31</v>
      </c>
      <c r="F49" s="6">
        <v>45947</v>
      </c>
      <c r="G49" s="7">
        <v>80</v>
      </c>
      <c r="H49" s="7">
        <v>1</v>
      </c>
      <c r="I49" s="7">
        <v>1</v>
      </c>
      <c r="J49" s="14">
        <v>1</v>
      </c>
      <c r="K49" s="14">
        <v>128</v>
      </c>
      <c r="L49" s="14">
        <v>126.95</v>
      </c>
      <c r="M49" s="7" t="s">
        <v>32</v>
      </c>
      <c r="N49" s="14">
        <v>127</v>
      </c>
      <c r="O49" s="17">
        <f t="shared" si="0"/>
        <v>1.5868750000000001E-2</v>
      </c>
      <c r="P49" s="7">
        <v>23</v>
      </c>
      <c r="Q49" s="7">
        <v>25</v>
      </c>
      <c r="R49" s="19">
        <f t="shared" si="1"/>
        <v>8000</v>
      </c>
    </row>
    <row r="50" spans="1:18" x14ac:dyDescent="0.2">
      <c r="A50" s="5">
        <v>7</v>
      </c>
      <c r="B50" s="6">
        <v>45922</v>
      </c>
      <c r="C50" s="7" t="s">
        <v>26</v>
      </c>
      <c r="D50" s="7" t="s">
        <v>30</v>
      </c>
      <c r="E50" s="7" t="s">
        <v>31</v>
      </c>
      <c r="F50" s="6">
        <v>45947</v>
      </c>
      <c r="G50" s="7">
        <v>80</v>
      </c>
      <c r="H50" s="7">
        <v>1</v>
      </c>
      <c r="I50" s="7">
        <v>1</v>
      </c>
      <c r="J50" s="14">
        <v>0</v>
      </c>
      <c r="K50" s="14">
        <v>128</v>
      </c>
      <c r="L50" s="14">
        <v>127.65</v>
      </c>
      <c r="M50" s="7" t="s">
        <v>32</v>
      </c>
      <c r="N50" s="14">
        <v>128</v>
      </c>
      <c r="O50" s="17">
        <f t="shared" si="0"/>
        <v>1.5956250000000002E-2</v>
      </c>
      <c r="P50" s="7">
        <v>23</v>
      </c>
      <c r="Q50" s="7">
        <v>25</v>
      </c>
      <c r="R50" s="19">
        <f t="shared" si="1"/>
        <v>8000</v>
      </c>
    </row>
    <row r="51" spans="1:18" x14ac:dyDescent="0.2">
      <c r="A51" s="5">
        <v>7</v>
      </c>
      <c r="B51" s="6">
        <v>45922</v>
      </c>
      <c r="C51" s="7" t="s">
        <v>33</v>
      </c>
      <c r="D51" s="7" t="s">
        <v>30</v>
      </c>
      <c r="E51" s="7" t="s">
        <v>31</v>
      </c>
      <c r="F51" s="6">
        <v>45947</v>
      </c>
      <c r="G51" s="7">
        <v>240</v>
      </c>
      <c r="H51" s="7">
        <v>1</v>
      </c>
      <c r="I51" s="7">
        <v>2</v>
      </c>
      <c r="J51" s="14">
        <v>1</v>
      </c>
      <c r="K51" s="14">
        <v>202</v>
      </c>
      <c r="L51" s="14">
        <v>201.3</v>
      </c>
      <c r="M51" s="7" t="s">
        <v>32</v>
      </c>
      <c r="N51" s="14">
        <v>201</v>
      </c>
      <c r="O51" s="17">
        <f t="shared" si="0"/>
        <v>8.3875000000000009E-3</v>
      </c>
      <c r="P51" s="7">
        <v>12</v>
      </c>
      <c r="Q51" s="7">
        <v>25</v>
      </c>
      <c r="R51" s="19">
        <f t="shared" si="1"/>
        <v>24000</v>
      </c>
    </row>
    <row r="52" spans="1:18" x14ac:dyDescent="0.2">
      <c r="A52" s="5">
        <v>7</v>
      </c>
      <c r="B52" s="6">
        <v>45922</v>
      </c>
      <c r="C52" s="7" t="s">
        <v>56</v>
      </c>
      <c r="D52" s="7" t="s">
        <v>30</v>
      </c>
      <c r="E52" s="7" t="s">
        <v>31</v>
      </c>
      <c r="F52" s="6">
        <v>45947</v>
      </c>
      <c r="G52" s="7">
        <v>95</v>
      </c>
      <c r="H52" s="7">
        <v>1</v>
      </c>
      <c r="I52" s="7">
        <v>1</v>
      </c>
      <c r="J52" s="14">
        <v>1</v>
      </c>
      <c r="K52" s="14">
        <v>138</v>
      </c>
      <c r="L52" s="14">
        <v>136.94999999999999</v>
      </c>
      <c r="M52" s="7" t="s">
        <v>32</v>
      </c>
      <c r="N52" s="14">
        <v>137</v>
      </c>
      <c r="O52" s="17">
        <f t="shared" si="0"/>
        <v>1.441578947368421E-2</v>
      </c>
      <c r="P52" s="7">
        <v>21</v>
      </c>
      <c r="Q52" s="7">
        <v>25</v>
      </c>
      <c r="R52" s="19">
        <f t="shared" si="1"/>
        <v>9500</v>
      </c>
    </row>
    <row r="53" spans="1:18" x14ac:dyDescent="0.2">
      <c r="A53" s="5">
        <v>7</v>
      </c>
      <c r="B53" s="6">
        <v>45922</v>
      </c>
      <c r="C53" s="7" t="s">
        <v>57</v>
      </c>
      <c r="D53" s="7" t="s">
        <v>30</v>
      </c>
      <c r="E53" s="7" t="s">
        <v>31</v>
      </c>
      <c r="F53" s="6">
        <v>45947</v>
      </c>
      <c r="G53" s="7">
        <v>18</v>
      </c>
      <c r="H53" s="7">
        <v>4</v>
      </c>
      <c r="I53" s="7">
        <v>1</v>
      </c>
      <c r="J53" s="14">
        <v>-1.19</v>
      </c>
      <c r="K53" s="14">
        <v>520</v>
      </c>
      <c r="L53" s="14">
        <v>521.19000000000005</v>
      </c>
      <c r="M53" s="7" t="s">
        <v>32</v>
      </c>
      <c r="N53" s="14">
        <v>521</v>
      </c>
      <c r="O53" s="17">
        <f t="shared" si="0"/>
        <v>7.2387500000000007E-2</v>
      </c>
      <c r="P53" s="7">
        <v>108</v>
      </c>
      <c r="Q53" s="7">
        <v>25</v>
      </c>
      <c r="R53" s="19">
        <f t="shared" si="1"/>
        <v>7200</v>
      </c>
    </row>
    <row r="54" spans="1:18" x14ac:dyDescent="0.2">
      <c r="A54" s="5">
        <v>7</v>
      </c>
      <c r="B54" s="6">
        <v>45922</v>
      </c>
      <c r="C54" s="7" t="s">
        <v>17</v>
      </c>
      <c r="D54" s="7" t="s">
        <v>30</v>
      </c>
      <c r="E54" s="7" t="s">
        <v>31</v>
      </c>
      <c r="F54" s="6">
        <v>45947</v>
      </c>
      <c r="G54" s="7">
        <v>300</v>
      </c>
      <c r="H54" s="7">
        <v>1</v>
      </c>
      <c r="I54" s="7">
        <v>3</v>
      </c>
      <c r="J54" s="14">
        <v>1</v>
      </c>
      <c r="K54" s="14">
        <v>307</v>
      </c>
      <c r="L54" s="14">
        <v>305.95</v>
      </c>
      <c r="M54" s="7" t="s">
        <v>32</v>
      </c>
      <c r="N54" s="14">
        <v>306</v>
      </c>
      <c r="O54" s="17">
        <f t="shared" si="0"/>
        <v>1.0198333333333334E-2</v>
      </c>
      <c r="P54" s="7">
        <v>15</v>
      </c>
      <c r="Q54" s="7">
        <v>25</v>
      </c>
      <c r="R54" s="19">
        <f t="shared" si="1"/>
        <v>30000</v>
      </c>
    </row>
    <row r="55" spans="1:18" x14ac:dyDescent="0.2">
      <c r="A55" s="5">
        <v>7</v>
      </c>
      <c r="B55" s="6">
        <v>45922</v>
      </c>
      <c r="C55" s="7" t="s">
        <v>58</v>
      </c>
      <c r="D55" s="7" t="s">
        <v>30</v>
      </c>
      <c r="E55" s="7" t="s">
        <v>31</v>
      </c>
      <c r="F55" s="6">
        <v>45947</v>
      </c>
      <c r="G55" s="7">
        <v>70</v>
      </c>
      <c r="H55" s="7">
        <v>1</v>
      </c>
      <c r="I55" s="7">
        <v>1</v>
      </c>
      <c r="J55" s="14">
        <v>1</v>
      </c>
      <c r="K55" s="14">
        <v>103</v>
      </c>
      <c r="L55" s="14">
        <v>101.95</v>
      </c>
      <c r="M55" s="7" t="s">
        <v>32</v>
      </c>
      <c r="N55" s="14">
        <v>102</v>
      </c>
      <c r="O55" s="17">
        <f t="shared" si="0"/>
        <v>1.4564285714285715E-2</v>
      </c>
      <c r="P55" s="7">
        <v>21</v>
      </c>
      <c r="Q55" s="7">
        <v>25</v>
      </c>
      <c r="R55" s="19">
        <f t="shared" si="1"/>
        <v>7000</v>
      </c>
    </row>
    <row r="56" spans="1:18" x14ac:dyDescent="0.2">
      <c r="A56" s="5">
        <v>7</v>
      </c>
      <c r="B56" s="6">
        <v>45922</v>
      </c>
      <c r="C56" s="7" t="s">
        <v>58</v>
      </c>
      <c r="D56" s="7" t="s">
        <v>30</v>
      </c>
      <c r="E56" s="7" t="s">
        <v>31</v>
      </c>
      <c r="F56" s="6">
        <v>45947</v>
      </c>
      <c r="G56" s="7">
        <v>70</v>
      </c>
      <c r="H56" s="7">
        <v>1</v>
      </c>
      <c r="I56" s="7">
        <v>1</v>
      </c>
      <c r="J56" s="14">
        <v>0</v>
      </c>
      <c r="K56" s="14">
        <v>103</v>
      </c>
      <c r="L56" s="14">
        <v>102.65</v>
      </c>
      <c r="M56" s="7" t="s">
        <v>32</v>
      </c>
      <c r="N56" s="14">
        <v>103</v>
      </c>
      <c r="O56" s="17">
        <f t="shared" si="0"/>
        <v>1.4664285714285715E-2</v>
      </c>
      <c r="P56" s="7">
        <v>21</v>
      </c>
      <c r="Q56" s="7">
        <v>25</v>
      </c>
      <c r="R56" s="19">
        <f t="shared" si="1"/>
        <v>7000</v>
      </c>
    </row>
    <row r="57" spans="1:18" x14ac:dyDescent="0.2">
      <c r="A57" s="5">
        <v>7</v>
      </c>
      <c r="B57" s="6">
        <v>45922</v>
      </c>
      <c r="C57" s="7" t="s">
        <v>54</v>
      </c>
      <c r="D57" s="7" t="s">
        <v>30</v>
      </c>
      <c r="E57" s="7" t="s">
        <v>31</v>
      </c>
      <c r="F57" s="6">
        <v>45947</v>
      </c>
      <c r="G57" s="7">
        <v>97</v>
      </c>
      <c r="H57" s="7">
        <v>1</v>
      </c>
      <c r="I57" s="7">
        <v>1</v>
      </c>
      <c r="J57" s="14">
        <v>1</v>
      </c>
      <c r="K57" s="14">
        <v>124</v>
      </c>
      <c r="L57" s="14">
        <v>122.95</v>
      </c>
      <c r="M57" s="7" t="s">
        <v>32</v>
      </c>
      <c r="N57" s="14">
        <v>123</v>
      </c>
      <c r="O57" s="17">
        <f t="shared" si="0"/>
        <v>1.2675257731958763E-2</v>
      </c>
      <c r="P57" s="7">
        <v>19</v>
      </c>
      <c r="Q57" s="7">
        <v>25</v>
      </c>
      <c r="R57" s="19">
        <f t="shared" si="1"/>
        <v>9700</v>
      </c>
    </row>
    <row r="58" spans="1:18" x14ac:dyDescent="0.2">
      <c r="A58" s="5">
        <v>7</v>
      </c>
      <c r="B58" s="6">
        <v>45922</v>
      </c>
      <c r="C58" s="7" t="s">
        <v>54</v>
      </c>
      <c r="D58" s="7" t="s">
        <v>30</v>
      </c>
      <c r="E58" s="7" t="s">
        <v>31</v>
      </c>
      <c r="F58" s="6">
        <v>45947</v>
      </c>
      <c r="G58" s="7">
        <v>97</v>
      </c>
      <c r="H58" s="7">
        <v>1</v>
      </c>
      <c r="I58" s="7">
        <v>1</v>
      </c>
      <c r="J58" s="14">
        <v>0</v>
      </c>
      <c r="K58" s="14">
        <v>124</v>
      </c>
      <c r="L58" s="14">
        <v>123.65</v>
      </c>
      <c r="M58" s="7" t="s">
        <v>32</v>
      </c>
      <c r="N58" s="14">
        <v>124</v>
      </c>
      <c r="O58" s="17">
        <f t="shared" si="0"/>
        <v>1.2747422680412372E-2</v>
      </c>
      <c r="P58" s="7">
        <v>19</v>
      </c>
      <c r="Q58" s="7">
        <v>25</v>
      </c>
      <c r="R58" s="19">
        <f t="shared" si="1"/>
        <v>9700</v>
      </c>
    </row>
    <row r="59" spans="1:18" x14ac:dyDescent="0.2">
      <c r="A59" s="5">
        <v>7</v>
      </c>
      <c r="B59" s="6">
        <v>45922</v>
      </c>
      <c r="C59" s="7" t="s">
        <v>54</v>
      </c>
      <c r="D59" s="7" t="s">
        <v>30</v>
      </c>
      <c r="E59" s="7" t="s">
        <v>31</v>
      </c>
      <c r="F59" s="6">
        <v>45926</v>
      </c>
      <c r="G59" s="7">
        <v>106</v>
      </c>
      <c r="H59" s="7">
        <v>1</v>
      </c>
      <c r="I59" s="7">
        <v>1</v>
      </c>
      <c r="J59" s="14">
        <v>1</v>
      </c>
      <c r="K59" s="14">
        <v>112</v>
      </c>
      <c r="L59" s="14">
        <v>110.95</v>
      </c>
      <c r="M59" s="7" t="s">
        <v>32</v>
      </c>
      <c r="N59" s="14">
        <v>111</v>
      </c>
      <c r="O59" s="17">
        <f t="shared" si="0"/>
        <v>1.0466981132075472E-2</v>
      </c>
      <c r="P59" s="7">
        <v>96</v>
      </c>
      <c r="Q59" s="7">
        <v>4</v>
      </c>
      <c r="R59" s="19">
        <f t="shared" si="1"/>
        <v>10600</v>
      </c>
    </row>
    <row r="60" spans="1:18" x14ac:dyDescent="0.2">
      <c r="A60" s="5">
        <v>7</v>
      </c>
      <c r="B60" s="6">
        <v>45922</v>
      </c>
      <c r="C60" s="7" t="s">
        <v>45</v>
      </c>
      <c r="D60" s="7" t="s">
        <v>30</v>
      </c>
      <c r="E60" s="7" t="s">
        <v>31</v>
      </c>
      <c r="F60" s="6">
        <v>45947</v>
      </c>
      <c r="G60" s="7">
        <v>95</v>
      </c>
      <c r="H60" s="7">
        <v>1</v>
      </c>
      <c r="I60" s="7">
        <v>2</v>
      </c>
      <c r="J60" s="14">
        <v>1</v>
      </c>
      <c r="K60" s="14">
        <v>198</v>
      </c>
      <c r="L60" s="14">
        <v>196.95</v>
      </c>
      <c r="M60" s="7" t="s">
        <v>32</v>
      </c>
      <c r="N60" s="14">
        <v>197</v>
      </c>
      <c r="O60" s="17">
        <f t="shared" si="0"/>
        <v>2.073157894736842E-2</v>
      </c>
      <c r="P60" s="7">
        <v>30</v>
      </c>
      <c r="Q60" s="7">
        <v>25</v>
      </c>
      <c r="R60" s="19">
        <f t="shared" si="1"/>
        <v>9500</v>
      </c>
    </row>
    <row r="61" spans="1:18" x14ac:dyDescent="0.2">
      <c r="A61" s="5">
        <v>7</v>
      </c>
      <c r="B61" s="6">
        <v>45922</v>
      </c>
      <c r="C61" s="7" t="s">
        <v>45</v>
      </c>
      <c r="D61" s="7" t="s">
        <v>30</v>
      </c>
      <c r="E61" s="7" t="s">
        <v>31</v>
      </c>
      <c r="F61" s="6">
        <v>45947</v>
      </c>
      <c r="G61" s="7">
        <v>95</v>
      </c>
      <c r="H61" s="7">
        <v>1</v>
      </c>
      <c r="I61" s="7">
        <v>2</v>
      </c>
      <c r="J61" s="14">
        <v>0</v>
      </c>
      <c r="K61" s="14">
        <v>198</v>
      </c>
      <c r="L61" s="14">
        <v>197.65</v>
      </c>
      <c r="M61" s="7" t="s">
        <v>32</v>
      </c>
      <c r="N61" s="14">
        <v>198</v>
      </c>
      <c r="O61" s="17">
        <f t="shared" si="0"/>
        <v>2.0805263157894736E-2</v>
      </c>
      <c r="P61" s="7">
        <v>30</v>
      </c>
      <c r="Q61" s="7">
        <v>25</v>
      </c>
      <c r="R61" s="19">
        <f t="shared" si="1"/>
        <v>9500</v>
      </c>
    </row>
    <row r="62" spans="1:18" x14ac:dyDescent="0.2">
      <c r="A62" s="5">
        <v>8</v>
      </c>
      <c r="B62" s="6">
        <v>45929</v>
      </c>
      <c r="C62" s="7" t="s">
        <v>39</v>
      </c>
      <c r="D62" s="7" t="s">
        <v>30</v>
      </c>
      <c r="E62" s="7" t="s">
        <v>31</v>
      </c>
      <c r="F62" s="6">
        <v>45947</v>
      </c>
      <c r="G62" s="7">
        <v>149</v>
      </c>
      <c r="H62" s="7">
        <v>2</v>
      </c>
      <c r="I62" s="7">
        <v>2</v>
      </c>
      <c r="J62" s="14">
        <v>1</v>
      </c>
      <c r="K62" s="14">
        <v>342</v>
      </c>
      <c r="L62" s="14">
        <v>340.59</v>
      </c>
      <c r="M62" s="7" t="s">
        <v>32</v>
      </c>
      <c r="N62" s="14">
        <v>341</v>
      </c>
      <c r="O62" s="17">
        <f t="shared" si="0"/>
        <v>1.1429194630872483E-2</v>
      </c>
      <c r="P62" s="7">
        <v>23</v>
      </c>
      <c r="Q62" s="7">
        <v>18</v>
      </c>
      <c r="R62" s="19">
        <f t="shared" si="1"/>
        <v>29800</v>
      </c>
    </row>
    <row r="63" spans="1:18" x14ac:dyDescent="0.2">
      <c r="A63" s="5"/>
      <c r="B63" s="6">
        <v>45946</v>
      </c>
      <c r="C63" s="7" t="s">
        <v>28</v>
      </c>
      <c r="D63" s="7" t="s">
        <v>2</v>
      </c>
      <c r="E63" s="7" t="s">
        <v>24</v>
      </c>
      <c r="F63" s="7"/>
      <c r="G63" s="7"/>
      <c r="H63" s="7">
        <v>200</v>
      </c>
      <c r="I63" s="7">
        <v>36</v>
      </c>
      <c r="J63" s="14">
        <v>0</v>
      </c>
      <c r="K63" s="14">
        <v>-7200</v>
      </c>
      <c r="L63" s="14">
        <v>-7200</v>
      </c>
      <c r="M63" s="7" t="s">
        <v>46</v>
      </c>
      <c r="N63" s="14"/>
      <c r="O63" s="17" t="str">
        <f t="shared" si="0"/>
        <v/>
      </c>
      <c r="P63" s="7"/>
      <c r="Q63" s="7"/>
      <c r="R63" s="19">
        <f t="shared" si="1"/>
        <v>0</v>
      </c>
    </row>
    <row r="64" spans="1:18" x14ac:dyDescent="0.2">
      <c r="A64" s="5">
        <v>9</v>
      </c>
      <c r="B64" s="6">
        <v>45946</v>
      </c>
      <c r="C64" s="7" t="s">
        <v>22</v>
      </c>
      <c r="D64" s="7" t="s">
        <v>43</v>
      </c>
      <c r="E64" s="7" t="s">
        <v>31</v>
      </c>
      <c r="F64" s="6">
        <v>45982</v>
      </c>
      <c r="G64" s="7">
        <v>35</v>
      </c>
      <c r="H64" s="7">
        <v>2</v>
      </c>
      <c r="I64" s="7">
        <v>2</v>
      </c>
      <c r="J64" s="14">
        <v>1</v>
      </c>
      <c r="K64" s="14">
        <v>474</v>
      </c>
      <c r="L64" s="14">
        <v>472.95</v>
      </c>
      <c r="M64" s="7" t="s">
        <v>32</v>
      </c>
      <c r="N64" s="14">
        <v>473</v>
      </c>
      <c r="O64" s="17">
        <f t="shared" si="0"/>
        <v>6.7564285714285716E-2</v>
      </c>
      <c r="P64" s="7"/>
      <c r="Q64" s="7">
        <v>36</v>
      </c>
      <c r="R64" s="19">
        <f t="shared" si="1"/>
        <v>7000</v>
      </c>
    </row>
    <row r="65" spans="1:18" x14ac:dyDescent="0.2">
      <c r="A65" s="5">
        <v>9</v>
      </c>
      <c r="B65" s="6">
        <v>45946</v>
      </c>
      <c r="C65" s="7" t="s">
        <v>22</v>
      </c>
      <c r="D65" s="7" t="s">
        <v>43</v>
      </c>
      <c r="E65" s="7" t="s">
        <v>31</v>
      </c>
      <c r="F65" s="6">
        <v>45982</v>
      </c>
      <c r="G65" s="7">
        <v>35</v>
      </c>
      <c r="H65" s="7">
        <v>1</v>
      </c>
      <c r="I65" s="7">
        <v>2</v>
      </c>
      <c r="J65" s="14">
        <v>0</v>
      </c>
      <c r="K65" s="14">
        <v>237</v>
      </c>
      <c r="L65" s="14">
        <v>236.95</v>
      </c>
      <c r="M65" s="7" t="s">
        <v>32</v>
      </c>
      <c r="N65" s="14">
        <v>237</v>
      </c>
      <c r="O65" s="17">
        <f t="shared" si="0"/>
        <v>6.7699999999999996E-2</v>
      </c>
      <c r="P65" s="7"/>
      <c r="Q65" s="7">
        <v>36</v>
      </c>
      <c r="R65" s="19">
        <f t="shared" si="1"/>
        <v>3500</v>
      </c>
    </row>
    <row r="66" spans="1:18" x14ac:dyDescent="0.2">
      <c r="A66" s="5">
        <v>9</v>
      </c>
      <c r="B66" s="6">
        <v>45946</v>
      </c>
      <c r="C66" s="7" t="s">
        <v>28</v>
      </c>
      <c r="D66" s="7" t="s">
        <v>43</v>
      </c>
      <c r="E66" s="7" t="s">
        <v>31</v>
      </c>
      <c r="F66" s="6">
        <v>45982</v>
      </c>
      <c r="G66" s="7">
        <v>36</v>
      </c>
      <c r="H66" s="7">
        <v>2</v>
      </c>
      <c r="I66" s="7">
        <v>2</v>
      </c>
      <c r="J66" s="14">
        <v>0</v>
      </c>
      <c r="K66" s="14">
        <v>420</v>
      </c>
      <c r="L66" s="14">
        <v>419.9</v>
      </c>
      <c r="M66" s="7" t="s">
        <v>32</v>
      </c>
      <c r="N66" s="14">
        <v>420</v>
      </c>
      <c r="O66" s="17">
        <f t="shared" ref="O66:O129" si="2">IFERROR(L66/(G66*100*H66),"")</f>
        <v>5.8319444444444445E-2</v>
      </c>
      <c r="P66" s="7"/>
      <c r="Q66" s="7">
        <v>36</v>
      </c>
      <c r="R66" s="19">
        <f t="shared" ref="R66:R129" si="3">H66*G66*100</f>
        <v>7200</v>
      </c>
    </row>
    <row r="67" spans="1:18" x14ac:dyDescent="0.2">
      <c r="A67" s="5"/>
      <c r="B67" s="6">
        <v>45947</v>
      </c>
      <c r="C67" s="7" t="s">
        <v>19</v>
      </c>
      <c r="D67" s="7" t="s">
        <v>2</v>
      </c>
      <c r="E67" s="7" t="s">
        <v>24</v>
      </c>
      <c r="F67" s="7"/>
      <c r="G67" s="7"/>
      <c r="H67" s="7">
        <v>200</v>
      </c>
      <c r="I67" s="7">
        <v>55</v>
      </c>
      <c r="J67" s="14">
        <v>0</v>
      </c>
      <c r="K67" s="14">
        <v>-11000</v>
      </c>
      <c r="L67" s="14">
        <v>-11000</v>
      </c>
      <c r="M67" s="7" t="s">
        <v>46</v>
      </c>
      <c r="N67" s="14"/>
      <c r="O67" s="17" t="str">
        <f t="shared" si="2"/>
        <v/>
      </c>
      <c r="P67" s="7"/>
      <c r="Q67" s="7"/>
      <c r="R67" s="19">
        <f t="shared" si="3"/>
        <v>0</v>
      </c>
    </row>
    <row r="68" spans="1:18" x14ac:dyDescent="0.2">
      <c r="A68" s="5"/>
      <c r="B68" s="6">
        <v>45947</v>
      </c>
      <c r="C68" s="7" t="s">
        <v>22</v>
      </c>
      <c r="D68" s="7" t="s">
        <v>2</v>
      </c>
      <c r="E68" s="7" t="s">
        <v>24</v>
      </c>
      <c r="F68" s="7"/>
      <c r="G68" s="7"/>
      <c r="H68" s="7">
        <v>300</v>
      </c>
      <c r="I68" s="7">
        <v>35</v>
      </c>
      <c r="J68" s="14">
        <v>0</v>
      </c>
      <c r="K68" s="14">
        <v>-10500</v>
      </c>
      <c r="L68" s="14">
        <v>-10500</v>
      </c>
      <c r="M68" s="7" t="s">
        <v>46</v>
      </c>
      <c r="N68" s="14"/>
      <c r="O68" s="17" t="str">
        <f t="shared" si="2"/>
        <v/>
      </c>
      <c r="P68" s="7"/>
      <c r="Q68" s="7"/>
      <c r="R68" s="19">
        <f t="shared" si="3"/>
        <v>0</v>
      </c>
    </row>
    <row r="69" spans="1:18" x14ac:dyDescent="0.2">
      <c r="A69" s="5">
        <v>10</v>
      </c>
      <c r="B69" s="6">
        <v>45950</v>
      </c>
      <c r="C69" s="7" t="s">
        <v>17</v>
      </c>
      <c r="D69" s="7" t="s">
        <v>30</v>
      </c>
      <c r="E69" s="7" t="s">
        <v>31</v>
      </c>
      <c r="F69" s="6">
        <v>45982</v>
      </c>
      <c r="G69" s="7">
        <v>290</v>
      </c>
      <c r="H69" s="7">
        <v>1</v>
      </c>
      <c r="I69" s="7">
        <v>4</v>
      </c>
      <c r="J69" s="14">
        <v>0</v>
      </c>
      <c r="K69" s="14">
        <v>417</v>
      </c>
      <c r="L69" s="14">
        <v>416.65</v>
      </c>
      <c r="M69" s="7" t="s">
        <v>32</v>
      </c>
      <c r="N69" s="14">
        <v>417</v>
      </c>
      <c r="O69" s="17">
        <f t="shared" si="2"/>
        <v>1.4367241379310345E-2</v>
      </c>
      <c r="P69" s="7">
        <v>16</v>
      </c>
      <c r="Q69" s="7">
        <v>32</v>
      </c>
      <c r="R69" s="19">
        <f t="shared" si="3"/>
        <v>29000</v>
      </c>
    </row>
    <row r="70" spans="1:18" x14ac:dyDescent="0.2">
      <c r="A70" s="5">
        <v>10</v>
      </c>
      <c r="B70" s="6">
        <v>45950</v>
      </c>
      <c r="C70" s="7" t="s">
        <v>17</v>
      </c>
      <c r="D70" s="7" t="s">
        <v>30</v>
      </c>
      <c r="E70" s="7" t="s">
        <v>31</v>
      </c>
      <c r="F70" s="6">
        <v>45982</v>
      </c>
      <c r="G70" s="7">
        <v>290</v>
      </c>
      <c r="H70" s="7">
        <v>1</v>
      </c>
      <c r="I70" s="7">
        <v>4</v>
      </c>
      <c r="J70" s="14">
        <v>1</v>
      </c>
      <c r="K70" s="14">
        <v>417</v>
      </c>
      <c r="L70" s="14">
        <v>415.95</v>
      </c>
      <c r="M70" s="7" t="s">
        <v>32</v>
      </c>
      <c r="N70" s="14">
        <v>416</v>
      </c>
      <c r="O70" s="17">
        <f t="shared" si="2"/>
        <v>1.4343103448275862E-2</v>
      </c>
      <c r="P70" s="7">
        <v>16</v>
      </c>
      <c r="Q70" s="7">
        <v>32</v>
      </c>
      <c r="R70" s="19">
        <f t="shared" si="3"/>
        <v>29000</v>
      </c>
    </row>
    <row r="71" spans="1:18" x14ac:dyDescent="0.2">
      <c r="A71" s="5">
        <v>10</v>
      </c>
      <c r="B71" s="6">
        <v>45950</v>
      </c>
      <c r="C71" s="7" t="s">
        <v>45</v>
      </c>
      <c r="D71" s="7" t="s">
        <v>30</v>
      </c>
      <c r="E71" s="7" t="s">
        <v>31</v>
      </c>
      <c r="F71" s="6">
        <v>45982</v>
      </c>
      <c r="G71" s="7">
        <v>80</v>
      </c>
      <c r="H71" s="7">
        <v>1</v>
      </c>
      <c r="I71" s="7">
        <v>2</v>
      </c>
      <c r="J71" s="14">
        <v>1</v>
      </c>
      <c r="K71" s="14">
        <v>192</v>
      </c>
      <c r="L71" s="14">
        <v>191.3</v>
      </c>
      <c r="M71" s="7" t="s">
        <v>32</v>
      </c>
      <c r="N71" s="14">
        <v>191</v>
      </c>
      <c r="O71" s="17">
        <f t="shared" si="2"/>
        <v>2.39125E-2</v>
      </c>
      <c r="P71" s="7">
        <v>27</v>
      </c>
      <c r="Q71" s="7">
        <v>32</v>
      </c>
      <c r="R71" s="19">
        <f t="shared" si="3"/>
        <v>8000</v>
      </c>
    </row>
    <row r="72" spans="1:18" x14ac:dyDescent="0.2">
      <c r="A72" s="5">
        <v>10</v>
      </c>
      <c r="B72" s="6">
        <v>45950</v>
      </c>
      <c r="C72" s="7" t="s">
        <v>45</v>
      </c>
      <c r="D72" s="7" t="s">
        <v>30</v>
      </c>
      <c r="E72" s="7" t="s">
        <v>31</v>
      </c>
      <c r="F72" s="6">
        <v>45982</v>
      </c>
      <c r="G72" s="7">
        <v>80</v>
      </c>
      <c r="H72" s="7">
        <v>1</v>
      </c>
      <c r="I72" s="7">
        <v>2</v>
      </c>
      <c r="J72" s="14">
        <v>1</v>
      </c>
      <c r="K72" s="14">
        <v>191</v>
      </c>
      <c r="L72" s="14">
        <v>189.95</v>
      </c>
      <c r="M72" s="7" t="s">
        <v>32</v>
      </c>
      <c r="N72" s="14">
        <v>190</v>
      </c>
      <c r="O72" s="17">
        <f t="shared" si="2"/>
        <v>2.3743749999999997E-2</v>
      </c>
      <c r="P72" s="7">
        <v>27</v>
      </c>
      <c r="Q72" s="7">
        <v>32</v>
      </c>
      <c r="R72" s="19">
        <f t="shared" si="3"/>
        <v>8000</v>
      </c>
    </row>
    <row r="73" spans="1:18" x14ac:dyDescent="0.2">
      <c r="A73" s="5">
        <v>10</v>
      </c>
      <c r="B73" s="6">
        <v>45950</v>
      </c>
      <c r="C73" s="7" t="s">
        <v>45</v>
      </c>
      <c r="D73" s="7" t="s">
        <v>30</v>
      </c>
      <c r="E73" s="7" t="s">
        <v>31</v>
      </c>
      <c r="F73" s="6">
        <v>45982</v>
      </c>
      <c r="G73" s="7">
        <v>80</v>
      </c>
      <c r="H73" s="7">
        <v>1</v>
      </c>
      <c r="I73" s="7">
        <v>2</v>
      </c>
      <c r="J73" s="14">
        <v>0</v>
      </c>
      <c r="K73" s="14">
        <v>192</v>
      </c>
      <c r="L73" s="14">
        <v>191.65</v>
      </c>
      <c r="M73" s="7" t="s">
        <v>32</v>
      </c>
      <c r="N73" s="14">
        <v>192</v>
      </c>
      <c r="O73" s="17">
        <f t="shared" si="2"/>
        <v>2.3956250000000002E-2</v>
      </c>
      <c r="P73" s="7">
        <v>27</v>
      </c>
      <c r="Q73" s="7">
        <v>32</v>
      </c>
      <c r="R73" s="19">
        <f t="shared" si="3"/>
        <v>8000</v>
      </c>
    </row>
    <row r="74" spans="1:18" x14ac:dyDescent="0.2">
      <c r="A74" s="5">
        <v>10</v>
      </c>
      <c r="B74" s="6">
        <v>45950</v>
      </c>
      <c r="C74" s="7" t="s">
        <v>28</v>
      </c>
      <c r="D74" s="7" t="s">
        <v>30</v>
      </c>
      <c r="E74" s="7" t="s">
        <v>31</v>
      </c>
      <c r="F74" s="6">
        <v>45982</v>
      </c>
      <c r="G74" s="7">
        <v>22</v>
      </c>
      <c r="H74" s="7">
        <v>1</v>
      </c>
      <c r="I74" s="7">
        <v>1</v>
      </c>
      <c r="J74" s="14">
        <v>1</v>
      </c>
      <c r="K74" s="14">
        <v>112</v>
      </c>
      <c r="L74" s="14">
        <v>110.95</v>
      </c>
      <c r="M74" s="7" t="s">
        <v>46</v>
      </c>
      <c r="N74" s="14">
        <v>111</v>
      </c>
      <c r="O74" s="17">
        <f t="shared" si="2"/>
        <v>5.0431818181818182E-2</v>
      </c>
      <c r="P74" s="7">
        <v>58</v>
      </c>
      <c r="Q74" s="7">
        <v>32</v>
      </c>
      <c r="R74" s="19">
        <f t="shared" si="3"/>
        <v>2200</v>
      </c>
    </row>
    <row r="75" spans="1:18" x14ac:dyDescent="0.2">
      <c r="A75" s="5">
        <v>10</v>
      </c>
      <c r="B75" s="6">
        <v>45950</v>
      </c>
      <c r="C75" s="7" t="s">
        <v>28</v>
      </c>
      <c r="D75" s="7" t="s">
        <v>30</v>
      </c>
      <c r="E75" s="7" t="s">
        <v>31</v>
      </c>
      <c r="F75" s="6">
        <v>45982</v>
      </c>
      <c r="G75" s="7">
        <v>22</v>
      </c>
      <c r="H75" s="7">
        <v>1</v>
      </c>
      <c r="I75" s="7">
        <v>1</v>
      </c>
      <c r="J75" s="14">
        <v>0</v>
      </c>
      <c r="K75" s="14">
        <v>112</v>
      </c>
      <c r="L75" s="14">
        <v>111.65</v>
      </c>
      <c r="M75" s="7" t="s">
        <v>46</v>
      </c>
      <c r="N75" s="14">
        <v>112</v>
      </c>
      <c r="O75" s="17">
        <f t="shared" si="2"/>
        <v>5.0750000000000003E-2</v>
      </c>
      <c r="P75" s="7">
        <v>58</v>
      </c>
      <c r="Q75" s="7">
        <v>32</v>
      </c>
      <c r="R75" s="19">
        <f t="shared" si="3"/>
        <v>2200</v>
      </c>
    </row>
    <row r="76" spans="1:18" x14ac:dyDescent="0.2">
      <c r="A76" s="5">
        <v>10</v>
      </c>
      <c r="B76" s="6">
        <v>45950</v>
      </c>
      <c r="C76" s="7" t="s">
        <v>42</v>
      </c>
      <c r="D76" s="7" t="s">
        <v>30</v>
      </c>
      <c r="E76" s="7" t="s">
        <v>31</v>
      </c>
      <c r="F76" s="6">
        <v>45982</v>
      </c>
      <c r="G76" s="7">
        <v>50</v>
      </c>
      <c r="H76" s="7">
        <v>1</v>
      </c>
      <c r="I76" s="7">
        <v>2</v>
      </c>
      <c r="J76" s="14">
        <v>1</v>
      </c>
      <c r="K76" s="14">
        <v>215</v>
      </c>
      <c r="L76" s="14">
        <v>213.95</v>
      </c>
      <c r="M76" s="7" t="s">
        <v>32</v>
      </c>
      <c r="N76" s="14">
        <v>214</v>
      </c>
      <c r="O76" s="17">
        <f t="shared" si="2"/>
        <v>4.2789999999999995E-2</v>
      </c>
      <c r="P76" s="7">
        <v>49</v>
      </c>
      <c r="Q76" s="7">
        <v>32</v>
      </c>
      <c r="R76" s="19">
        <f t="shared" si="3"/>
        <v>5000</v>
      </c>
    </row>
    <row r="77" spans="1:18" x14ac:dyDescent="0.2">
      <c r="A77" s="5">
        <v>10</v>
      </c>
      <c r="B77" s="6">
        <v>45950</v>
      </c>
      <c r="C77" s="7" t="s">
        <v>42</v>
      </c>
      <c r="D77" s="7" t="s">
        <v>30</v>
      </c>
      <c r="E77" s="7" t="s">
        <v>31</v>
      </c>
      <c r="F77" s="6">
        <v>45982</v>
      </c>
      <c r="G77" s="7">
        <v>50</v>
      </c>
      <c r="H77" s="7">
        <v>2</v>
      </c>
      <c r="I77" s="7">
        <v>2</v>
      </c>
      <c r="J77" s="14">
        <v>1</v>
      </c>
      <c r="K77" s="14">
        <v>434</v>
      </c>
      <c r="L77" s="14">
        <v>432.95</v>
      </c>
      <c r="M77" s="7" t="s">
        <v>32</v>
      </c>
      <c r="N77" s="14">
        <v>433</v>
      </c>
      <c r="O77" s="17">
        <f t="shared" si="2"/>
        <v>4.3295E-2</v>
      </c>
      <c r="P77" s="7">
        <v>50</v>
      </c>
      <c r="Q77" s="7">
        <v>32</v>
      </c>
      <c r="R77" s="19">
        <f t="shared" si="3"/>
        <v>10000</v>
      </c>
    </row>
    <row r="78" spans="1:18" x14ac:dyDescent="0.2">
      <c r="A78" s="5">
        <v>10</v>
      </c>
      <c r="B78" s="6">
        <v>45950</v>
      </c>
      <c r="C78" s="7" t="s">
        <v>50</v>
      </c>
      <c r="D78" s="7" t="s">
        <v>30</v>
      </c>
      <c r="E78" s="7" t="s">
        <v>31</v>
      </c>
      <c r="F78" s="6">
        <v>45982</v>
      </c>
      <c r="G78" s="7">
        <v>55</v>
      </c>
      <c r="H78" s="7">
        <v>1</v>
      </c>
      <c r="I78" s="7">
        <v>2</v>
      </c>
      <c r="J78" s="14">
        <v>0</v>
      </c>
      <c r="K78" s="14">
        <v>172</v>
      </c>
      <c r="L78" s="14">
        <v>171.65</v>
      </c>
      <c r="M78" s="7" t="s">
        <v>32</v>
      </c>
      <c r="N78" s="14">
        <v>172</v>
      </c>
      <c r="O78" s="17">
        <f t="shared" si="2"/>
        <v>3.1209090909090909E-2</v>
      </c>
      <c r="P78" s="7">
        <v>36</v>
      </c>
      <c r="Q78" s="7">
        <v>32</v>
      </c>
      <c r="R78" s="19">
        <f t="shared" si="3"/>
        <v>5500</v>
      </c>
    </row>
    <row r="79" spans="1:18" x14ac:dyDescent="0.2">
      <c r="A79" s="5">
        <v>10</v>
      </c>
      <c r="B79" s="6">
        <v>45950</v>
      </c>
      <c r="C79" s="7" t="s">
        <v>50</v>
      </c>
      <c r="D79" s="7" t="s">
        <v>30</v>
      </c>
      <c r="E79" s="7" t="s">
        <v>31</v>
      </c>
      <c r="F79" s="6">
        <v>45982</v>
      </c>
      <c r="G79" s="7">
        <v>55</v>
      </c>
      <c r="H79" s="7">
        <v>1</v>
      </c>
      <c r="I79" s="7">
        <v>2</v>
      </c>
      <c r="J79" s="14">
        <v>1</v>
      </c>
      <c r="K79" s="14">
        <v>171</v>
      </c>
      <c r="L79" s="14">
        <v>170.3</v>
      </c>
      <c r="M79" s="7" t="s">
        <v>32</v>
      </c>
      <c r="N79" s="14">
        <v>170</v>
      </c>
      <c r="O79" s="17">
        <f t="shared" si="2"/>
        <v>3.0963636363636367E-2</v>
      </c>
      <c r="P79" s="7">
        <v>35</v>
      </c>
      <c r="Q79" s="7">
        <v>32</v>
      </c>
      <c r="R79" s="19">
        <f t="shared" si="3"/>
        <v>5500</v>
      </c>
    </row>
    <row r="80" spans="1:18" x14ac:dyDescent="0.2">
      <c r="A80" s="5">
        <v>10</v>
      </c>
      <c r="B80" s="6">
        <v>45950</v>
      </c>
      <c r="C80" s="7" t="s">
        <v>50</v>
      </c>
      <c r="D80" s="7" t="s">
        <v>30</v>
      </c>
      <c r="E80" s="7" t="s">
        <v>31</v>
      </c>
      <c r="F80" s="6">
        <v>45982</v>
      </c>
      <c r="G80" s="7">
        <v>55</v>
      </c>
      <c r="H80" s="7">
        <v>1</v>
      </c>
      <c r="I80" s="7">
        <v>2</v>
      </c>
      <c r="J80" s="14">
        <v>1</v>
      </c>
      <c r="K80" s="14">
        <v>172</v>
      </c>
      <c r="L80" s="14">
        <v>170.95</v>
      </c>
      <c r="M80" s="7" t="s">
        <v>32</v>
      </c>
      <c r="N80" s="14">
        <v>171</v>
      </c>
      <c r="O80" s="17">
        <f t="shared" si="2"/>
        <v>3.1081818181818179E-2</v>
      </c>
      <c r="P80" s="7">
        <v>36</v>
      </c>
      <c r="Q80" s="7">
        <v>32</v>
      </c>
      <c r="R80" s="19">
        <f t="shared" si="3"/>
        <v>5500</v>
      </c>
    </row>
    <row r="81" spans="1:18" x14ac:dyDescent="0.2">
      <c r="A81" s="5">
        <v>10</v>
      </c>
      <c r="B81" s="6">
        <v>45950</v>
      </c>
      <c r="C81" s="7" t="s">
        <v>26</v>
      </c>
      <c r="D81" s="7" t="s">
        <v>30</v>
      </c>
      <c r="E81" s="7" t="s">
        <v>31</v>
      </c>
      <c r="F81" s="6">
        <v>45982</v>
      </c>
      <c r="G81" s="7">
        <v>70</v>
      </c>
      <c r="H81" s="7">
        <v>2</v>
      </c>
      <c r="I81" s="7">
        <v>3</v>
      </c>
      <c r="J81" s="14">
        <v>1</v>
      </c>
      <c r="K81" s="14">
        <v>602</v>
      </c>
      <c r="L81" s="14">
        <v>600.6</v>
      </c>
      <c r="M81" s="7" t="s">
        <v>46</v>
      </c>
      <c r="N81" s="14">
        <v>601</v>
      </c>
      <c r="O81" s="17">
        <f t="shared" si="2"/>
        <v>4.2900000000000001E-2</v>
      </c>
      <c r="P81" s="7">
        <v>49</v>
      </c>
      <c r="Q81" s="7">
        <v>32</v>
      </c>
      <c r="R81" s="19">
        <f t="shared" si="3"/>
        <v>14000</v>
      </c>
    </row>
    <row r="82" spans="1:18" x14ac:dyDescent="0.2">
      <c r="A82" s="5">
        <v>10</v>
      </c>
      <c r="B82" s="6">
        <v>45950</v>
      </c>
      <c r="C82" s="7" t="s">
        <v>26</v>
      </c>
      <c r="D82" s="7" t="s">
        <v>30</v>
      </c>
      <c r="E82" s="7" t="s">
        <v>31</v>
      </c>
      <c r="F82" s="6">
        <v>45982</v>
      </c>
      <c r="G82" s="7">
        <v>70</v>
      </c>
      <c r="H82" s="7">
        <v>2</v>
      </c>
      <c r="I82" s="7">
        <v>3</v>
      </c>
      <c r="J82" s="14">
        <v>1</v>
      </c>
      <c r="K82" s="14">
        <v>602</v>
      </c>
      <c r="L82" s="14">
        <v>600.6</v>
      </c>
      <c r="M82" s="7" t="s">
        <v>46</v>
      </c>
      <c r="N82" s="14">
        <v>601</v>
      </c>
      <c r="O82" s="17">
        <f t="shared" si="2"/>
        <v>4.2900000000000001E-2</v>
      </c>
      <c r="P82" s="7">
        <v>49</v>
      </c>
      <c r="Q82" s="7">
        <v>32</v>
      </c>
      <c r="R82" s="19">
        <f t="shared" si="3"/>
        <v>14000</v>
      </c>
    </row>
    <row r="83" spans="1:18" x14ac:dyDescent="0.2">
      <c r="A83" s="5">
        <v>10</v>
      </c>
      <c r="B83" s="6">
        <v>45950</v>
      </c>
      <c r="C83" s="7" t="s">
        <v>51</v>
      </c>
      <c r="D83" s="7" t="s">
        <v>30</v>
      </c>
      <c r="E83" s="7" t="s">
        <v>31</v>
      </c>
      <c r="F83" s="6">
        <v>45982</v>
      </c>
      <c r="G83" s="7">
        <v>31</v>
      </c>
      <c r="H83" s="7">
        <v>6</v>
      </c>
      <c r="I83" s="7">
        <v>1</v>
      </c>
      <c r="J83" s="14">
        <v>5</v>
      </c>
      <c r="K83" s="14">
        <v>230.79</v>
      </c>
      <c r="L83" s="14">
        <v>225.44</v>
      </c>
      <c r="M83" s="7" t="s">
        <v>32</v>
      </c>
      <c r="N83" s="14">
        <v>225</v>
      </c>
      <c r="O83" s="17">
        <f t="shared" si="2"/>
        <v>1.2120430107526881E-2</v>
      </c>
      <c r="P83" s="7">
        <v>20</v>
      </c>
      <c r="Q83" s="7">
        <v>32</v>
      </c>
      <c r="R83" s="19">
        <f t="shared" si="3"/>
        <v>18600</v>
      </c>
    </row>
    <row r="84" spans="1:18" x14ac:dyDescent="0.2">
      <c r="A84" s="5">
        <v>10</v>
      </c>
      <c r="B84" s="6">
        <v>45950</v>
      </c>
      <c r="C84" s="7" t="s">
        <v>33</v>
      </c>
      <c r="D84" s="7" t="s">
        <v>30</v>
      </c>
      <c r="E84" s="7" t="s">
        <v>31</v>
      </c>
      <c r="F84" s="6">
        <v>45982</v>
      </c>
      <c r="G84" s="7">
        <v>260</v>
      </c>
      <c r="H84" s="7">
        <v>1</v>
      </c>
      <c r="I84" s="7">
        <v>3</v>
      </c>
      <c r="J84" s="14">
        <v>1</v>
      </c>
      <c r="K84" s="14">
        <v>264</v>
      </c>
      <c r="L84" s="14">
        <v>262.95</v>
      </c>
      <c r="M84" s="7" t="s">
        <v>32</v>
      </c>
      <c r="N84" s="14">
        <v>263</v>
      </c>
      <c r="O84" s="17">
        <f t="shared" si="2"/>
        <v>1.0113461538461538E-2</v>
      </c>
      <c r="P84" s="7">
        <v>12</v>
      </c>
      <c r="Q84" s="7">
        <v>32</v>
      </c>
      <c r="R84" s="19">
        <f t="shared" si="3"/>
        <v>26000</v>
      </c>
    </row>
    <row r="85" spans="1:18" x14ac:dyDescent="0.2">
      <c r="A85" s="5">
        <v>10</v>
      </c>
      <c r="B85" s="6">
        <v>45950</v>
      </c>
      <c r="C85" s="7" t="s">
        <v>33</v>
      </c>
      <c r="D85" s="7" t="s">
        <v>30</v>
      </c>
      <c r="E85" s="7" t="s">
        <v>31</v>
      </c>
      <c r="F85" s="6">
        <v>45982</v>
      </c>
      <c r="G85" s="7">
        <v>260</v>
      </c>
      <c r="H85" s="7">
        <v>1</v>
      </c>
      <c r="I85" s="7">
        <v>3</v>
      </c>
      <c r="J85" s="14">
        <v>0</v>
      </c>
      <c r="K85" s="14">
        <v>264</v>
      </c>
      <c r="L85" s="14">
        <v>263.64999999999998</v>
      </c>
      <c r="M85" s="7" t="s">
        <v>32</v>
      </c>
      <c r="N85" s="14">
        <v>264</v>
      </c>
      <c r="O85" s="17">
        <f t="shared" si="2"/>
        <v>1.0140384615384615E-2</v>
      </c>
      <c r="P85" s="7">
        <v>12</v>
      </c>
      <c r="Q85" s="7">
        <v>32</v>
      </c>
      <c r="R85" s="19">
        <f t="shared" si="3"/>
        <v>26000</v>
      </c>
    </row>
    <row r="86" spans="1:18" x14ac:dyDescent="0.2">
      <c r="A86" s="5">
        <v>10</v>
      </c>
      <c r="B86" s="6">
        <v>45950</v>
      </c>
      <c r="C86" s="7" t="s">
        <v>38</v>
      </c>
      <c r="D86" s="7" t="s">
        <v>30</v>
      </c>
      <c r="E86" s="7" t="s">
        <v>31</v>
      </c>
      <c r="F86" s="6">
        <v>45982</v>
      </c>
      <c r="G86" s="7">
        <v>220</v>
      </c>
      <c r="H86" s="7">
        <v>1</v>
      </c>
      <c r="I86" s="7">
        <v>7</v>
      </c>
      <c r="J86" s="14">
        <v>1</v>
      </c>
      <c r="K86" s="14">
        <v>673</v>
      </c>
      <c r="L86" s="14">
        <v>671.95</v>
      </c>
      <c r="M86" s="7" t="s">
        <v>32</v>
      </c>
      <c r="N86" s="14">
        <v>672</v>
      </c>
      <c r="O86" s="17">
        <f t="shared" si="2"/>
        <v>3.054318181818182E-2</v>
      </c>
      <c r="P86" s="7">
        <v>35</v>
      </c>
      <c r="Q86" s="7">
        <v>32</v>
      </c>
      <c r="R86" s="19">
        <f t="shared" si="3"/>
        <v>22000</v>
      </c>
    </row>
    <row r="87" spans="1:18" x14ac:dyDescent="0.2">
      <c r="A87" s="5">
        <v>10</v>
      </c>
      <c r="B87" s="6">
        <v>45950</v>
      </c>
      <c r="C87" s="7" t="s">
        <v>38</v>
      </c>
      <c r="D87" s="7" t="s">
        <v>30</v>
      </c>
      <c r="E87" s="7" t="s">
        <v>31</v>
      </c>
      <c r="F87" s="6">
        <v>45982</v>
      </c>
      <c r="G87" s="7">
        <v>220</v>
      </c>
      <c r="H87" s="7">
        <v>1</v>
      </c>
      <c r="I87" s="7">
        <v>7</v>
      </c>
      <c r="J87" s="14">
        <v>0</v>
      </c>
      <c r="K87" s="14">
        <v>673</v>
      </c>
      <c r="L87" s="14">
        <v>672.65</v>
      </c>
      <c r="M87" s="7" t="s">
        <v>32</v>
      </c>
      <c r="N87" s="14">
        <v>673</v>
      </c>
      <c r="O87" s="17">
        <f t="shared" si="2"/>
        <v>3.0574999999999998E-2</v>
      </c>
      <c r="P87" s="7">
        <v>35</v>
      </c>
      <c r="Q87" s="7">
        <v>32</v>
      </c>
      <c r="R87" s="19">
        <f t="shared" si="3"/>
        <v>22000</v>
      </c>
    </row>
    <row r="88" spans="1:18" x14ac:dyDescent="0.2">
      <c r="A88" s="5">
        <v>10</v>
      </c>
      <c r="B88" s="6">
        <v>45950</v>
      </c>
      <c r="C88" s="7" t="s">
        <v>52</v>
      </c>
      <c r="D88" s="7" t="s">
        <v>30</v>
      </c>
      <c r="E88" s="7" t="s">
        <v>31</v>
      </c>
      <c r="F88" s="6">
        <v>45982</v>
      </c>
      <c r="G88" s="7">
        <v>127</v>
      </c>
      <c r="H88" s="7">
        <v>2</v>
      </c>
      <c r="I88" s="7">
        <v>6</v>
      </c>
      <c r="J88" s="14">
        <v>1</v>
      </c>
      <c r="K88" s="14">
        <v>1210</v>
      </c>
      <c r="L88" s="14">
        <v>1208.5999999999999</v>
      </c>
      <c r="M88" s="7" t="s">
        <v>32</v>
      </c>
      <c r="N88" s="14">
        <v>1209</v>
      </c>
      <c r="O88" s="17">
        <f t="shared" si="2"/>
        <v>4.7582677165354324E-2</v>
      </c>
      <c r="P88" s="7">
        <v>54</v>
      </c>
      <c r="Q88" s="7">
        <v>32</v>
      </c>
      <c r="R88" s="19">
        <f t="shared" si="3"/>
        <v>25400</v>
      </c>
    </row>
    <row r="89" spans="1:18" x14ac:dyDescent="0.2">
      <c r="A89" s="5">
        <v>10</v>
      </c>
      <c r="B89" s="6">
        <v>45950</v>
      </c>
      <c r="C89" s="7" t="s">
        <v>27</v>
      </c>
      <c r="D89" s="7" t="s">
        <v>30</v>
      </c>
      <c r="E89" s="7" t="s">
        <v>31</v>
      </c>
      <c r="F89" s="6">
        <v>45982</v>
      </c>
      <c r="G89" s="7">
        <v>18</v>
      </c>
      <c r="H89" s="7">
        <v>2</v>
      </c>
      <c r="I89" s="7">
        <v>1</v>
      </c>
      <c r="J89" s="14">
        <v>1</v>
      </c>
      <c r="K89" s="14">
        <v>148</v>
      </c>
      <c r="L89" s="14">
        <v>146.6</v>
      </c>
      <c r="M89" s="7" t="s">
        <v>46</v>
      </c>
      <c r="N89" s="14">
        <v>147</v>
      </c>
      <c r="O89" s="17">
        <f t="shared" si="2"/>
        <v>4.0722222222222222E-2</v>
      </c>
      <c r="P89" s="7">
        <v>48</v>
      </c>
      <c r="Q89" s="7">
        <v>32</v>
      </c>
      <c r="R89" s="19">
        <f t="shared" si="3"/>
        <v>3600</v>
      </c>
    </row>
    <row r="90" spans="1:18" x14ac:dyDescent="0.2">
      <c r="A90" s="5">
        <v>10</v>
      </c>
      <c r="B90" s="6">
        <v>45950</v>
      </c>
      <c r="C90" s="7" t="s">
        <v>27</v>
      </c>
      <c r="D90" s="7" t="s">
        <v>30</v>
      </c>
      <c r="E90" s="7" t="s">
        <v>31</v>
      </c>
      <c r="F90" s="6">
        <v>45982</v>
      </c>
      <c r="G90" s="7">
        <v>18</v>
      </c>
      <c r="H90" s="7">
        <v>3</v>
      </c>
      <c r="I90" s="7">
        <v>1</v>
      </c>
      <c r="J90" s="14">
        <v>2</v>
      </c>
      <c r="K90" s="14">
        <v>222</v>
      </c>
      <c r="L90" s="14">
        <v>219.9</v>
      </c>
      <c r="M90" s="7" t="s">
        <v>46</v>
      </c>
      <c r="N90" s="14">
        <v>220</v>
      </c>
      <c r="O90" s="17">
        <f t="shared" si="2"/>
        <v>4.0722222222222222E-2</v>
      </c>
      <c r="P90" s="7">
        <v>48</v>
      </c>
      <c r="Q90" s="7">
        <v>32</v>
      </c>
      <c r="R90" s="19">
        <f t="shared" si="3"/>
        <v>5400</v>
      </c>
    </row>
    <row r="91" spans="1:18" x14ac:dyDescent="0.2">
      <c r="A91" s="5">
        <v>10</v>
      </c>
      <c r="B91" s="6">
        <v>45950</v>
      </c>
      <c r="C91" s="7" t="s">
        <v>27</v>
      </c>
      <c r="D91" s="7" t="s">
        <v>30</v>
      </c>
      <c r="E91" s="7" t="s">
        <v>31</v>
      </c>
      <c r="F91" s="6">
        <v>45982</v>
      </c>
      <c r="G91" s="7">
        <v>18</v>
      </c>
      <c r="H91" s="7">
        <v>1</v>
      </c>
      <c r="I91" s="7">
        <v>1</v>
      </c>
      <c r="J91" s="14">
        <v>1</v>
      </c>
      <c r="K91" s="14">
        <v>74</v>
      </c>
      <c r="L91" s="14">
        <v>73.3</v>
      </c>
      <c r="M91" s="7" t="s">
        <v>46</v>
      </c>
      <c r="N91" s="14">
        <v>73</v>
      </c>
      <c r="O91" s="17">
        <f t="shared" si="2"/>
        <v>4.0722222222222222E-2</v>
      </c>
      <c r="P91" s="7">
        <v>48</v>
      </c>
      <c r="Q91" s="7">
        <v>32</v>
      </c>
      <c r="R91" s="19">
        <f t="shared" si="3"/>
        <v>1800</v>
      </c>
    </row>
    <row r="92" spans="1:18" x14ac:dyDescent="0.2">
      <c r="A92" s="5">
        <v>10</v>
      </c>
      <c r="B92" s="6">
        <v>45950</v>
      </c>
      <c r="C92" s="7" t="s">
        <v>36</v>
      </c>
      <c r="D92" s="7" t="s">
        <v>30</v>
      </c>
      <c r="E92" s="7" t="s">
        <v>31</v>
      </c>
      <c r="F92" s="6">
        <v>45982</v>
      </c>
      <c r="G92" s="7">
        <v>20</v>
      </c>
      <c r="H92" s="7">
        <v>3</v>
      </c>
      <c r="I92" s="7">
        <v>1</v>
      </c>
      <c r="J92" s="14">
        <v>2</v>
      </c>
      <c r="K92" s="14">
        <v>174</v>
      </c>
      <c r="L92" s="14">
        <v>171.9</v>
      </c>
      <c r="M92" s="7" t="s">
        <v>32</v>
      </c>
      <c r="N92" s="14">
        <v>172</v>
      </c>
      <c r="O92" s="17">
        <f t="shared" si="2"/>
        <v>2.8650000000000002E-2</v>
      </c>
      <c r="P92" s="7">
        <v>33</v>
      </c>
      <c r="Q92" s="7">
        <v>32</v>
      </c>
      <c r="R92" s="19">
        <f t="shared" si="3"/>
        <v>6000</v>
      </c>
    </row>
    <row r="93" spans="1:18" x14ac:dyDescent="0.2">
      <c r="A93" s="5">
        <v>10</v>
      </c>
      <c r="B93" s="6">
        <v>45950</v>
      </c>
      <c r="C93" s="7" t="s">
        <v>36</v>
      </c>
      <c r="D93" s="7" t="s">
        <v>30</v>
      </c>
      <c r="E93" s="7" t="s">
        <v>31</v>
      </c>
      <c r="F93" s="6">
        <v>45982</v>
      </c>
      <c r="G93" s="7">
        <v>20</v>
      </c>
      <c r="H93" s="7">
        <v>3</v>
      </c>
      <c r="I93" s="7">
        <v>1</v>
      </c>
      <c r="J93" s="14">
        <v>2</v>
      </c>
      <c r="K93" s="14">
        <v>174</v>
      </c>
      <c r="L93" s="14">
        <v>171.9</v>
      </c>
      <c r="M93" s="7" t="s">
        <v>32</v>
      </c>
      <c r="N93" s="14">
        <v>172</v>
      </c>
      <c r="O93" s="17">
        <f t="shared" si="2"/>
        <v>2.8650000000000002E-2</v>
      </c>
      <c r="P93" s="7">
        <v>33</v>
      </c>
      <c r="Q93" s="7">
        <v>32</v>
      </c>
      <c r="R93" s="19">
        <f t="shared" si="3"/>
        <v>6000</v>
      </c>
    </row>
    <row r="94" spans="1:18" x14ac:dyDescent="0.2">
      <c r="A94" s="5">
        <v>10</v>
      </c>
      <c r="B94" s="6">
        <v>45950</v>
      </c>
      <c r="C94" s="7" t="s">
        <v>39</v>
      </c>
      <c r="D94" s="7" t="s">
        <v>30</v>
      </c>
      <c r="E94" s="7" t="s">
        <v>31</v>
      </c>
      <c r="F94" s="6">
        <v>45982</v>
      </c>
      <c r="G94" s="7">
        <v>183</v>
      </c>
      <c r="H94" s="7">
        <v>1</v>
      </c>
      <c r="I94" s="7">
        <v>6</v>
      </c>
      <c r="J94" s="14">
        <v>1</v>
      </c>
      <c r="K94" s="14">
        <v>563</v>
      </c>
      <c r="L94" s="14">
        <v>561.95000000000005</v>
      </c>
      <c r="M94" s="7" t="s">
        <v>32</v>
      </c>
      <c r="N94" s="14">
        <v>562</v>
      </c>
      <c r="O94" s="17">
        <f t="shared" si="2"/>
        <v>3.0707650273224047E-2</v>
      </c>
      <c r="P94" s="7">
        <v>35</v>
      </c>
      <c r="Q94" s="7">
        <v>32</v>
      </c>
      <c r="R94" s="19">
        <f t="shared" si="3"/>
        <v>18300</v>
      </c>
    </row>
    <row r="95" spans="1:18" x14ac:dyDescent="0.2">
      <c r="A95" s="5">
        <v>10</v>
      </c>
      <c r="B95" s="6">
        <v>45950</v>
      </c>
      <c r="C95" s="7" t="s">
        <v>39</v>
      </c>
      <c r="D95" s="7" t="s">
        <v>30</v>
      </c>
      <c r="E95" s="7" t="s">
        <v>31</v>
      </c>
      <c r="F95" s="6">
        <v>45982</v>
      </c>
      <c r="G95" s="7">
        <v>183</v>
      </c>
      <c r="H95" s="7">
        <v>1</v>
      </c>
      <c r="I95" s="7">
        <v>6</v>
      </c>
      <c r="J95" s="14">
        <v>0</v>
      </c>
      <c r="K95" s="14">
        <v>563</v>
      </c>
      <c r="L95" s="14">
        <v>562.65</v>
      </c>
      <c r="M95" s="7" t="s">
        <v>32</v>
      </c>
      <c r="N95" s="14">
        <v>563</v>
      </c>
      <c r="O95" s="17">
        <f t="shared" si="2"/>
        <v>3.0745901639344261E-2</v>
      </c>
      <c r="P95" s="7">
        <v>35</v>
      </c>
      <c r="Q95" s="7">
        <v>32</v>
      </c>
      <c r="R95" s="19">
        <f t="shared" si="3"/>
        <v>18300</v>
      </c>
    </row>
    <row r="96" spans="1:18" x14ac:dyDescent="0.2">
      <c r="A96" s="5"/>
      <c r="B96" s="6">
        <v>45951</v>
      </c>
      <c r="C96" s="7" t="s">
        <v>19</v>
      </c>
      <c r="D96" s="7" t="s">
        <v>2</v>
      </c>
      <c r="E96" s="7" t="s">
        <v>20</v>
      </c>
      <c r="F96" s="7"/>
      <c r="G96" s="7"/>
      <c r="H96" s="7">
        <v>200</v>
      </c>
      <c r="I96" s="7">
        <v>55</v>
      </c>
      <c r="J96" s="14">
        <v>1</v>
      </c>
      <c r="K96" s="14">
        <v>10942</v>
      </c>
      <c r="L96" s="14">
        <v>10940.96</v>
      </c>
      <c r="M96" s="7" t="s">
        <v>21</v>
      </c>
      <c r="N96" s="14"/>
      <c r="O96" s="17" t="str">
        <f t="shared" si="2"/>
        <v/>
      </c>
      <c r="P96" s="7"/>
      <c r="Q96" s="7"/>
      <c r="R96" s="1">
        <f t="shared" si="3"/>
        <v>0</v>
      </c>
    </row>
    <row r="97" spans="1:18" x14ac:dyDescent="0.2">
      <c r="A97" s="5"/>
      <c r="B97" s="6">
        <v>45951</v>
      </c>
      <c r="C97" s="7" t="s">
        <v>22</v>
      </c>
      <c r="D97" s="7" t="s">
        <v>2</v>
      </c>
      <c r="E97" s="7" t="s">
        <v>20</v>
      </c>
      <c r="F97" s="7"/>
      <c r="G97" s="7"/>
      <c r="H97" s="7">
        <v>60</v>
      </c>
      <c r="I97" s="7">
        <v>36</v>
      </c>
      <c r="J97" s="14">
        <v>0</v>
      </c>
      <c r="K97" s="14">
        <v>2140.1999999999998</v>
      </c>
      <c r="L97" s="14">
        <v>2139.89</v>
      </c>
      <c r="M97" s="7" t="s">
        <v>21</v>
      </c>
      <c r="N97" s="14"/>
      <c r="O97" s="17" t="str">
        <f t="shared" si="2"/>
        <v/>
      </c>
      <c r="P97" s="7"/>
      <c r="Q97" s="7"/>
      <c r="R97" s="1">
        <f t="shared" si="3"/>
        <v>0</v>
      </c>
    </row>
    <row r="98" spans="1:18" x14ac:dyDescent="0.2">
      <c r="A98" s="5"/>
      <c r="B98" s="6">
        <v>45951</v>
      </c>
      <c r="C98" s="7" t="s">
        <v>22</v>
      </c>
      <c r="D98" s="7" t="s">
        <v>2</v>
      </c>
      <c r="E98" s="7" t="s">
        <v>20</v>
      </c>
      <c r="F98" s="7"/>
      <c r="G98" s="7"/>
      <c r="H98" s="7">
        <v>240</v>
      </c>
      <c r="I98" s="7">
        <v>36</v>
      </c>
      <c r="J98" s="14">
        <v>1</v>
      </c>
      <c r="K98" s="14">
        <v>8560.7999999999993</v>
      </c>
      <c r="L98" s="14">
        <v>8559.5499999999993</v>
      </c>
      <c r="M98" s="7" t="s">
        <v>21</v>
      </c>
      <c r="N98" s="14"/>
      <c r="O98" s="17" t="str">
        <f t="shared" si="2"/>
        <v/>
      </c>
      <c r="P98" s="7"/>
      <c r="Q98" s="7"/>
      <c r="R98" s="1">
        <f t="shared" si="3"/>
        <v>0</v>
      </c>
    </row>
    <row r="99" spans="1:18" x14ac:dyDescent="0.2">
      <c r="A99" s="5">
        <v>11</v>
      </c>
      <c r="B99" s="6">
        <v>45964</v>
      </c>
      <c r="C99" s="7" t="s">
        <v>45</v>
      </c>
      <c r="D99" s="7" t="s">
        <v>30</v>
      </c>
      <c r="E99" s="7" t="s">
        <v>31</v>
      </c>
      <c r="F99" s="6">
        <v>45982</v>
      </c>
      <c r="G99" s="7">
        <v>85</v>
      </c>
      <c r="H99" s="7">
        <v>1</v>
      </c>
      <c r="I99" s="7">
        <v>4</v>
      </c>
      <c r="J99" s="14">
        <v>1</v>
      </c>
      <c r="K99" s="14">
        <v>364</v>
      </c>
      <c r="L99" s="14">
        <v>362.95</v>
      </c>
      <c r="M99" s="7" t="s">
        <v>32</v>
      </c>
      <c r="N99" s="14">
        <v>363</v>
      </c>
      <c r="O99" s="17">
        <f t="shared" si="2"/>
        <v>4.2700000000000002E-2</v>
      </c>
      <c r="P99" s="7">
        <v>87</v>
      </c>
      <c r="Q99" s="7">
        <v>18</v>
      </c>
      <c r="R99" s="19">
        <f t="shared" si="3"/>
        <v>8500</v>
      </c>
    </row>
    <row r="100" spans="1:18" x14ac:dyDescent="0.2">
      <c r="A100" s="5"/>
      <c r="B100" s="6">
        <v>45978</v>
      </c>
      <c r="C100" s="7" t="s">
        <v>23</v>
      </c>
      <c r="D100" s="7" t="s">
        <v>2</v>
      </c>
      <c r="E100" s="7" t="s">
        <v>24</v>
      </c>
      <c r="F100" s="7"/>
      <c r="G100" s="7"/>
      <c r="H100" s="7">
        <v>100</v>
      </c>
      <c r="I100" s="7">
        <v>15</v>
      </c>
      <c r="J100" s="14">
        <v>0</v>
      </c>
      <c r="K100" s="14">
        <v>-1500</v>
      </c>
      <c r="L100" s="14">
        <v>-1500</v>
      </c>
      <c r="M100" s="7" t="s">
        <v>25</v>
      </c>
      <c r="N100" s="14"/>
      <c r="O100" s="17" t="str">
        <f t="shared" si="2"/>
        <v/>
      </c>
      <c r="P100" s="7"/>
      <c r="Q100" s="7"/>
      <c r="R100" s="1">
        <f t="shared" si="3"/>
        <v>0</v>
      </c>
    </row>
    <row r="101" spans="1:18" x14ac:dyDescent="0.2">
      <c r="A101" s="5"/>
      <c r="B101" s="6">
        <v>45981</v>
      </c>
      <c r="C101" s="7" t="s">
        <v>23</v>
      </c>
      <c r="D101" s="7" t="s">
        <v>2</v>
      </c>
      <c r="E101" s="7" t="s">
        <v>24</v>
      </c>
      <c r="F101" s="7"/>
      <c r="G101" s="7"/>
      <c r="H101" s="7">
        <v>200</v>
      </c>
      <c r="I101" s="7">
        <v>15</v>
      </c>
      <c r="J101" s="14">
        <v>0</v>
      </c>
      <c r="K101" s="14">
        <v>-3000</v>
      </c>
      <c r="L101" s="14">
        <v>-3000</v>
      </c>
      <c r="M101" s="7" t="s">
        <v>25</v>
      </c>
      <c r="N101" s="14"/>
      <c r="O101" s="17" t="str">
        <f t="shared" si="2"/>
        <v/>
      </c>
      <c r="P101" s="7"/>
      <c r="Q101" s="7"/>
      <c r="R101" s="1">
        <f t="shared" si="3"/>
        <v>0</v>
      </c>
    </row>
    <row r="102" spans="1:18" x14ac:dyDescent="0.2">
      <c r="A102" s="5"/>
      <c r="B102" s="6">
        <v>45981</v>
      </c>
      <c r="C102" s="7" t="s">
        <v>26</v>
      </c>
      <c r="D102" s="7" t="s">
        <v>2</v>
      </c>
      <c r="E102" s="7" t="s">
        <v>24</v>
      </c>
      <c r="F102" s="7"/>
      <c r="G102" s="7"/>
      <c r="H102" s="7">
        <v>400</v>
      </c>
      <c r="I102" s="7">
        <v>70</v>
      </c>
      <c r="J102" s="14">
        <v>0</v>
      </c>
      <c r="K102" s="14">
        <v>-28000</v>
      </c>
      <c r="L102" s="14">
        <v>-28000</v>
      </c>
      <c r="M102" s="7" t="s">
        <v>25</v>
      </c>
      <c r="N102" s="14"/>
      <c r="O102" s="17" t="str">
        <f t="shared" si="2"/>
        <v/>
      </c>
      <c r="P102" s="7"/>
      <c r="Q102" s="7"/>
      <c r="R102" s="1">
        <f t="shared" si="3"/>
        <v>0</v>
      </c>
    </row>
    <row r="103" spans="1:18" x14ac:dyDescent="0.2">
      <c r="A103" s="5">
        <v>12</v>
      </c>
      <c r="B103" s="6">
        <v>45981</v>
      </c>
      <c r="C103" s="7" t="s">
        <v>26</v>
      </c>
      <c r="D103" s="7" t="s">
        <v>43</v>
      </c>
      <c r="E103" s="7" t="s">
        <v>31</v>
      </c>
      <c r="F103" s="6">
        <v>46010</v>
      </c>
      <c r="G103" s="7">
        <v>70</v>
      </c>
      <c r="H103" s="7">
        <v>2</v>
      </c>
      <c r="I103" s="7">
        <v>2</v>
      </c>
      <c r="J103" s="14">
        <v>1</v>
      </c>
      <c r="K103" s="14">
        <v>318</v>
      </c>
      <c r="L103" s="14">
        <v>316.60000000000002</v>
      </c>
      <c r="M103" s="7" t="s">
        <v>32</v>
      </c>
      <c r="N103" s="14">
        <v>317</v>
      </c>
      <c r="O103" s="17">
        <f t="shared" si="2"/>
        <v>2.2614285714285715E-2</v>
      </c>
      <c r="P103" s="7"/>
      <c r="Q103" s="7">
        <v>29</v>
      </c>
      <c r="R103" s="19">
        <f t="shared" si="3"/>
        <v>14000</v>
      </c>
    </row>
    <row r="104" spans="1:18" x14ac:dyDescent="0.2">
      <c r="A104" s="5">
        <v>12</v>
      </c>
      <c r="B104" s="6">
        <v>45981</v>
      </c>
      <c r="C104" s="7" t="s">
        <v>26</v>
      </c>
      <c r="D104" s="7" t="s">
        <v>43</v>
      </c>
      <c r="E104" s="7" t="s">
        <v>31</v>
      </c>
      <c r="F104" s="6">
        <v>46010</v>
      </c>
      <c r="G104" s="7">
        <v>70</v>
      </c>
      <c r="H104" s="7">
        <v>2</v>
      </c>
      <c r="I104" s="7">
        <v>2</v>
      </c>
      <c r="J104" s="14">
        <v>1</v>
      </c>
      <c r="K104" s="14">
        <v>318</v>
      </c>
      <c r="L104" s="14">
        <v>316.60000000000002</v>
      </c>
      <c r="M104" s="7" t="s">
        <v>32</v>
      </c>
      <c r="N104" s="14">
        <v>317</v>
      </c>
      <c r="O104" s="17">
        <f t="shared" si="2"/>
        <v>2.2614285714285715E-2</v>
      </c>
      <c r="P104" s="7"/>
      <c r="Q104" s="7">
        <v>29</v>
      </c>
      <c r="R104" s="19">
        <f t="shared" si="3"/>
        <v>14000</v>
      </c>
    </row>
    <row r="105" spans="1:18" x14ac:dyDescent="0.2">
      <c r="A105" s="5">
        <v>13</v>
      </c>
      <c r="B105" s="6">
        <v>45981</v>
      </c>
      <c r="C105" s="7" t="s">
        <v>27</v>
      </c>
      <c r="D105" s="7" t="s">
        <v>43</v>
      </c>
      <c r="E105" s="7" t="s">
        <v>31</v>
      </c>
      <c r="F105" s="6">
        <v>46010</v>
      </c>
      <c r="G105" s="7">
        <v>18</v>
      </c>
      <c r="H105" s="7">
        <v>1</v>
      </c>
      <c r="I105" s="7">
        <v>0</v>
      </c>
      <c r="J105" s="14">
        <v>-0.65</v>
      </c>
      <c r="K105" s="14">
        <v>37</v>
      </c>
      <c r="L105" s="14">
        <v>37.65</v>
      </c>
      <c r="M105" s="7" t="s">
        <v>46</v>
      </c>
      <c r="N105" s="14">
        <v>38</v>
      </c>
      <c r="O105" s="17">
        <f t="shared" si="2"/>
        <v>2.0916666666666667E-2</v>
      </c>
      <c r="P105" s="7"/>
      <c r="Q105" s="7">
        <v>29</v>
      </c>
      <c r="R105" s="19">
        <f t="shared" si="3"/>
        <v>1800</v>
      </c>
    </row>
    <row r="106" spans="1:18" x14ac:dyDescent="0.2">
      <c r="A106" s="5">
        <v>13</v>
      </c>
      <c r="B106" s="6">
        <v>45981</v>
      </c>
      <c r="C106" s="7" t="s">
        <v>27</v>
      </c>
      <c r="D106" s="7" t="s">
        <v>43</v>
      </c>
      <c r="E106" s="7" t="s">
        <v>31</v>
      </c>
      <c r="F106" s="6">
        <v>46010</v>
      </c>
      <c r="G106" s="7">
        <v>18</v>
      </c>
      <c r="H106" s="7">
        <v>3</v>
      </c>
      <c r="I106" s="7">
        <v>0</v>
      </c>
      <c r="J106" s="14">
        <v>2</v>
      </c>
      <c r="K106" s="14">
        <v>111</v>
      </c>
      <c r="L106" s="14">
        <v>108.9</v>
      </c>
      <c r="M106" s="7" t="s">
        <v>46</v>
      </c>
      <c r="N106" s="14">
        <v>109</v>
      </c>
      <c r="O106" s="17">
        <f t="shared" si="2"/>
        <v>2.0166666666666666E-2</v>
      </c>
      <c r="P106" s="7"/>
      <c r="Q106" s="7">
        <v>29</v>
      </c>
      <c r="R106" s="19">
        <f t="shared" si="3"/>
        <v>5400</v>
      </c>
    </row>
    <row r="107" spans="1:18" x14ac:dyDescent="0.2">
      <c r="A107" s="5">
        <v>13</v>
      </c>
      <c r="B107" s="6">
        <v>45981</v>
      </c>
      <c r="C107" s="7" t="s">
        <v>27</v>
      </c>
      <c r="D107" s="7" t="s">
        <v>43</v>
      </c>
      <c r="E107" s="7" t="s">
        <v>31</v>
      </c>
      <c r="F107" s="6">
        <v>46010</v>
      </c>
      <c r="G107" s="7">
        <v>18</v>
      </c>
      <c r="H107" s="7">
        <v>1</v>
      </c>
      <c r="I107" s="7">
        <v>0</v>
      </c>
      <c r="J107" s="14">
        <v>-0.3</v>
      </c>
      <c r="K107" s="14">
        <v>37</v>
      </c>
      <c r="L107" s="14">
        <v>37.299999999999997</v>
      </c>
      <c r="M107" s="7" t="s">
        <v>46</v>
      </c>
      <c r="N107" s="14">
        <v>37</v>
      </c>
      <c r="O107" s="17">
        <f t="shared" si="2"/>
        <v>2.0722222222222222E-2</v>
      </c>
      <c r="P107" s="7"/>
      <c r="Q107" s="7">
        <v>29</v>
      </c>
      <c r="R107" s="19">
        <f t="shared" si="3"/>
        <v>1800</v>
      </c>
    </row>
    <row r="108" spans="1:18" x14ac:dyDescent="0.2">
      <c r="A108" s="5">
        <v>13</v>
      </c>
      <c r="B108" s="6">
        <v>45981</v>
      </c>
      <c r="C108" s="7" t="s">
        <v>27</v>
      </c>
      <c r="D108" s="7" t="s">
        <v>43</v>
      </c>
      <c r="E108" s="7" t="s">
        <v>31</v>
      </c>
      <c r="F108" s="6">
        <v>46010</v>
      </c>
      <c r="G108" s="7">
        <v>18</v>
      </c>
      <c r="H108" s="7">
        <v>1</v>
      </c>
      <c r="I108" s="7">
        <v>0</v>
      </c>
      <c r="J108" s="14">
        <v>0</v>
      </c>
      <c r="K108" s="14">
        <v>37</v>
      </c>
      <c r="L108" s="14">
        <v>36.950000000000003</v>
      </c>
      <c r="M108" s="7" t="s">
        <v>46</v>
      </c>
      <c r="N108" s="14">
        <v>37</v>
      </c>
      <c r="O108" s="17">
        <f t="shared" si="2"/>
        <v>2.052777777777778E-2</v>
      </c>
      <c r="P108" s="7"/>
      <c r="Q108" s="7">
        <v>29</v>
      </c>
      <c r="R108" s="19">
        <f t="shared" si="3"/>
        <v>1800</v>
      </c>
    </row>
    <row r="109" spans="1:18" x14ac:dyDescent="0.2">
      <c r="A109" s="5"/>
      <c r="B109" s="6">
        <v>45982</v>
      </c>
      <c r="C109" s="7" t="s">
        <v>27</v>
      </c>
      <c r="D109" s="7" t="s">
        <v>2</v>
      </c>
      <c r="E109" s="7" t="s">
        <v>24</v>
      </c>
      <c r="F109" s="7"/>
      <c r="G109" s="7"/>
      <c r="H109" s="7">
        <v>600</v>
      </c>
      <c r="I109" s="7">
        <v>18</v>
      </c>
      <c r="J109" s="14">
        <v>0</v>
      </c>
      <c r="K109" s="14">
        <v>-10500</v>
      </c>
      <c r="L109" s="14">
        <v>-10500</v>
      </c>
      <c r="M109" s="7" t="s">
        <v>25</v>
      </c>
      <c r="N109" s="14"/>
      <c r="O109" s="17" t="str">
        <f t="shared" si="2"/>
        <v/>
      </c>
      <c r="P109" s="7"/>
      <c r="Q109" s="7"/>
      <c r="R109" s="1">
        <f t="shared" si="3"/>
        <v>0</v>
      </c>
    </row>
    <row r="110" spans="1:18" x14ac:dyDescent="0.2">
      <c r="A110" s="5"/>
      <c r="B110" s="6">
        <v>45982</v>
      </c>
      <c r="C110" s="7" t="s">
        <v>28</v>
      </c>
      <c r="D110" s="7" t="s">
        <v>2</v>
      </c>
      <c r="E110" s="7" t="s">
        <v>24</v>
      </c>
      <c r="F110" s="7"/>
      <c r="G110" s="7"/>
      <c r="H110" s="7">
        <v>200</v>
      </c>
      <c r="I110" s="7">
        <v>22</v>
      </c>
      <c r="J110" s="14">
        <v>0</v>
      </c>
      <c r="K110" s="14">
        <v>-4400</v>
      </c>
      <c r="L110" s="14">
        <v>-4400</v>
      </c>
      <c r="M110" s="7" t="s">
        <v>25</v>
      </c>
      <c r="N110" s="14"/>
      <c r="O110" s="17" t="str">
        <f t="shared" si="2"/>
        <v/>
      </c>
      <c r="P110" s="7"/>
      <c r="Q110" s="7"/>
      <c r="R110" s="1">
        <f t="shared" si="3"/>
        <v>0</v>
      </c>
    </row>
    <row r="111" spans="1:18" x14ac:dyDescent="0.2">
      <c r="A111" s="5">
        <v>14</v>
      </c>
      <c r="B111" s="6">
        <v>45985</v>
      </c>
      <c r="C111" s="7" t="s">
        <v>28</v>
      </c>
      <c r="D111" s="7" t="s">
        <v>43</v>
      </c>
      <c r="E111" s="7" t="s">
        <v>31</v>
      </c>
      <c r="F111" s="6">
        <v>46073</v>
      </c>
      <c r="G111" s="7">
        <v>36</v>
      </c>
      <c r="H111" s="7">
        <v>2</v>
      </c>
      <c r="I111" s="7">
        <v>1</v>
      </c>
      <c r="J111" s="14">
        <v>1</v>
      </c>
      <c r="K111" s="14">
        <v>260</v>
      </c>
      <c r="L111" s="14">
        <v>258.60000000000002</v>
      </c>
      <c r="M111" s="7" t="s">
        <v>21</v>
      </c>
      <c r="N111" s="14">
        <v>259</v>
      </c>
      <c r="O111" s="17">
        <f t="shared" si="2"/>
        <v>3.5916666666666673E-2</v>
      </c>
      <c r="P111" s="7"/>
      <c r="Q111" s="7">
        <v>88</v>
      </c>
      <c r="R111" s="19">
        <f t="shared" si="3"/>
        <v>7200</v>
      </c>
    </row>
    <row r="112" spans="1:18" x14ac:dyDescent="0.2">
      <c r="A112" s="5">
        <v>14</v>
      </c>
      <c r="B112" s="6">
        <v>45985</v>
      </c>
      <c r="C112" s="7" t="s">
        <v>28</v>
      </c>
      <c r="D112" s="7" t="s">
        <v>43</v>
      </c>
      <c r="E112" s="7" t="s">
        <v>31</v>
      </c>
      <c r="F112" s="6">
        <v>46010</v>
      </c>
      <c r="G112" s="7">
        <v>26</v>
      </c>
      <c r="H112" s="7">
        <v>1</v>
      </c>
      <c r="I112" s="7">
        <v>1</v>
      </c>
      <c r="J112" s="14">
        <v>0</v>
      </c>
      <c r="K112" s="14">
        <v>107</v>
      </c>
      <c r="L112" s="14">
        <v>106.65</v>
      </c>
      <c r="M112" s="7" t="s">
        <v>32</v>
      </c>
      <c r="N112" s="14">
        <v>107</v>
      </c>
      <c r="O112" s="17">
        <f t="shared" si="2"/>
        <v>4.1019230769230773E-2</v>
      </c>
      <c r="P112" s="7"/>
      <c r="Q112" s="7">
        <v>25</v>
      </c>
      <c r="R112" s="19">
        <f t="shared" si="3"/>
        <v>2600</v>
      </c>
    </row>
    <row r="113" spans="1:18" x14ac:dyDescent="0.2">
      <c r="A113" s="5">
        <v>14</v>
      </c>
      <c r="B113" s="6">
        <v>45985</v>
      </c>
      <c r="C113" s="7" t="s">
        <v>28</v>
      </c>
      <c r="D113" s="7" t="s">
        <v>43</v>
      </c>
      <c r="E113" s="7" t="s">
        <v>31</v>
      </c>
      <c r="F113" s="6">
        <v>46010</v>
      </c>
      <c r="G113" s="7">
        <v>26</v>
      </c>
      <c r="H113" s="7">
        <v>1</v>
      </c>
      <c r="I113" s="7">
        <v>1</v>
      </c>
      <c r="J113" s="14">
        <v>1</v>
      </c>
      <c r="K113" s="14">
        <v>107</v>
      </c>
      <c r="L113" s="14">
        <v>105.95</v>
      </c>
      <c r="M113" s="7" t="s">
        <v>32</v>
      </c>
      <c r="N113" s="14">
        <v>106</v>
      </c>
      <c r="O113" s="17">
        <f t="shared" si="2"/>
        <v>4.0750000000000001E-2</v>
      </c>
      <c r="P113" s="7"/>
      <c r="Q113" s="7">
        <v>25</v>
      </c>
      <c r="R113" s="19">
        <f t="shared" si="3"/>
        <v>2600</v>
      </c>
    </row>
    <row r="114" spans="1:18" x14ac:dyDescent="0.2">
      <c r="A114" s="5">
        <v>14</v>
      </c>
      <c r="B114" s="6">
        <v>45985</v>
      </c>
      <c r="C114" s="7" t="s">
        <v>47</v>
      </c>
      <c r="D114" s="7" t="s">
        <v>30</v>
      </c>
      <c r="E114" s="7" t="s">
        <v>31</v>
      </c>
      <c r="F114" s="6">
        <v>46010</v>
      </c>
      <c r="G114" s="7">
        <v>70</v>
      </c>
      <c r="H114" s="7">
        <v>3</v>
      </c>
      <c r="I114" s="7">
        <v>1</v>
      </c>
      <c r="J114" s="14">
        <v>2</v>
      </c>
      <c r="K114" s="14">
        <v>300</v>
      </c>
      <c r="L114" s="14">
        <v>297.89999999999998</v>
      </c>
      <c r="M114" s="7" t="s">
        <v>32</v>
      </c>
      <c r="N114" s="14">
        <v>298</v>
      </c>
      <c r="O114" s="17">
        <f t="shared" si="2"/>
        <v>1.4185714285714284E-2</v>
      </c>
      <c r="P114" s="7">
        <v>21</v>
      </c>
      <c r="Q114" s="7">
        <v>25</v>
      </c>
      <c r="R114" s="19">
        <f t="shared" si="3"/>
        <v>21000</v>
      </c>
    </row>
    <row r="115" spans="1:18" x14ac:dyDescent="0.2">
      <c r="A115" s="5">
        <v>14</v>
      </c>
      <c r="B115" s="6">
        <v>45985</v>
      </c>
      <c r="C115" s="7" t="s">
        <v>17</v>
      </c>
      <c r="D115" s="7" t="s">
        <v>30</v>
      </c>
      <c r="E115" s="7" t="s">
        <v>31</v>
      </c>
      <c r="F115" s="6">
        <v>46010</v>
      </c>
      <c r="G115" s="7">
        <v>280</v>
      </c>
      <c r="H115" s="7">
        <v>1</v>
      </c>
      <c r="I115" s="7">
        <v>4</v>
      </c>
      <c r="J115" s="14">
        <v>1</v>
      </c>
      <c r="K115" s="14">
        <v>379</v>
      </c>
      <c r="L115" s="14">
        <v>377.95</v>
      </c>
      <c r="M115" s="7" t="s">
        <v>32</v>
      </c>
      <c r="N115" s="14">
        <v>378</v>
      </c>
      <c r="O115" s="17">
        <f t="shared" si="2"/>
        <v>1.3498214285714285E-2</v>
      </c>
      <c r="P115" s="7">
        <v>20</v>
      </c>
      <c r="Q115" s="7">
        <v>25</v>
      </c>
      <c r="R115" s="19">
        <f t="shared" si="3"/>
        <v>28000</v>
      </c>
    </row>
    <row r="116" spans="1:18" x14ac:dyDescent="0.2">
      <c r="A116" s="5">
        <v>14</v>
      </c>
      <c r="B116" s="6">
        <v>45985</v>
      </c>
      <c r="C116" s="7" t="s">
        <v>48</v>
      </c>
      <c r="D116" s="7" t="s">
        <v>30</v>
      </c>
      <c r="E116" s="7" t="s">
        <v>31</v>
      </c>
      <c r="F116" s="6">
        <v>46010</v>
      </c>
      <c r="G116" s="7">
        <v>23</v>
      </c>
      <c r="H116" s="7">
        <v>3</v>
      </c>
      <c r="I116" s="7">
        <v>0</v>
      </c>
      <c r="J116" s="14">
        <v>2</v>
      </c>
      <c r="K116" s="14">
        <v>84</v>
      </c>
      <c r="L116" s="14">
        <v>81.900000000000006</v>
      </c>
      <c r="M116" s="7" t="s">
        <v>32</v>
      </c>
      <c r="N116" s="14">
        <v>82</v>
      </c>
      <c r="O116" s="17">
        <f t="shared" si="2"/>
        <v>1.1869565217391305E-2</v>
      </c>
      <c r="P116" s="7">
        <v>18</v>
      </c>
      <c r="Q116" s="7">
        <v>25</v>
      </c>
      <c r="R116" s="19">
        <f t="shared" si="3"/>
        <v>6900</v>
      </c>
    </row>
    <row r="117" spans="1:18" x14ac:dyDescent="0.2">
      <c r="A117" s="5">
        <v>14</v>
      </c>
      <c r="B117" s="6">
        <v>45985</v>
      </c>
      <c r="C117" s="7" t="s">
        <v>48</v>
      </c>
      <c r="D117" s="7" t="s">
        <v>30</v>
      </c>
      <c r="E117" s="7" t="s">
        <v>31</v>
      </c>
      <c r="F117" s="6">
        <v>46010</v>
      </c>
      <c r="G117" s="7">
        <v>23</v>
      </c>
      <c r="H117" s="7">
        <v>3</v>
      </c>
      <c r="I117" s="7">
        <v>0</v>
      </c>
      <c r="J117" s="14">
        <v>2</v>
      </c>
      <c r="K117" s="14">
        <v>84</v>
      </c>
      <c r="L117" s="14">
        <v>81.900000000000006</v>
      </c>
      <c r="M117" s="7" t="s">
        <v>32</v>
      </c>
      <c r="N117" s="14">
        <v>82</v>
      </c>
      <c r="O117" s="17">
        <f t="shared" si="2"/>
        <v>1.1869565217391305E-2</v>
      </c>
      <c r="P117" s="7">
        <v>18</v>
      </c>
      <c r="Q117" s="7">
        <v>25</v>
      </c>
      <c r="R117" s="19">
        <f t="shared" si="3"/>
        <v>6900</v>
      </c>
    </row>
    <row r="118" spans="1:18" x14ac:dyDescent="0.2">
      <c r="A118" s="5">
        <v>14</v>
      </c>
      <c r="B118" s="6">
        <v>45985</v>
      </c>
      <c r="C118" s="7" t="s">
        <v>42</v>
      </c>
      <c r="D118" s="7" t="s">
        <v>30</v>
      </c>
      <c r="E118" s="7" t="s">
        <v>31</v>
      </c>
      <c r="F118" s="6">
        <v>46010</v>
      </c>
      <c r="G118" s="7">
        <v>55</v>
      </c>
      <c r="H118" s="7">
        <v>1</v>
      </c>
      <c r="I118" s="7">
        <v>1</v>
      </c>
      <c r="J118" s="14">
        <v>0</v>
      </c>
      <c r="K118" s="14">
        <v>146</v>
      </c>
      <c r="L118" s="14">
        <v>145.65</v>
      </c>
      <c r="M118" s="7" t="s">
        <v>32</v>
      </c>
      <c r="N118" s="14">
        <v>146</v>
      </c>
      <c r="O118" s="17">
        <f t="shared" si="2"/>
        <v>2.6481818181818183E-2</v>
      </c>
      <c r="P118" s="7">
        <v>39</v>
      </c>
      <c r="Q118" s="7">
        <v>25</v>
      </c>
      <c r="R118" s="19">
        <f t="shared" si="3"/>
        <v>5500</v>
      </c>
    </row>
    <row r="119" spans="1:18" x14ac:dyDescent="0.2">
      <c r="A119" s="5">
        <v>14</v>
      </c>
      <c r="B119" s="6">
        <v>45985</v>
      </c>
      <c r="C119" s="7" t="s">
        <v>42</v>
      </c>
      <c r="D119" s="7" t="s">
        <v>30</v>
      </c>
      <c r="E119" s="7" t="s">
        <v>31</v>
      </c>
      <c r="F119" s="6">
        <v>46010</v>
      </c>
      <c r="G119" s="7">
        <v>55</v>
      </c>
      <c r="H119" s="7">
        <v>1</v>
      </c>
      <c r="I119" s="7">
        <v>1</v>
      </c>
      <c r="J119" s="14">
        <v>1</v>
      </c>
      <c r="K119" s="14">
        <v>146</v>
      </c>
      <c r="L119" s="14">
        <v>144.94999999999999</v>
      </c>
      <c r="M119" s="7" t="s">
        <v>32</v>
      </c>
      <c r="N119" s="14">
        <v>145</v>
      </c>
      <c r="O119" s="17">
        <f t="shared" si="2"/>
        <v>2.6354545454545453E-2</v>
      </c>
      <c r="P119" s="7">
        <v>39</v>
      </c>
      <c r="Q119" s="7">
        <v>25</v>
      </c>
      <c r="R119" s="19">
        <f t="shared" si="3"/>
        <v>5500</v>
      </c>
    </row>
    <row r="120" spans="1:18" x14ac:dyDescent="0.2">
      <c r="A120" s="5">
        <v>14</v>
      </c>
      <c r="B120" s="6">
        <v>45985</v>
      </c>
      <c r="C120" s="7" t="s">
        <v>49</v>
      </c>
      <c r="D120" s="7" t="s">
        <v>30</v>
      </c>
      <c r="E120" s="7" t="s">
        <v>31</v>
      </c>
      <c r="F120" s="6">
        <v>46010</v>
      </c>
      <c r="G120" s="7">
        <v>88</v>
      </c>
      <c r="H120" s="7">
        <v>2</v>
      </c>
      <c r="I120" s="7">
        <v>1</v>
      </c>
      <c r="J120" s="14">
        <v>1</v>
      </c>
      <c r="K120" s="14">
        <v>232</v>
      </c>
      <c r="L120" s="14">
        <v>230.6</v>
      </c>
      <c r="M120" s="7" t="s">
        <v>32</v>
      </c>
      <c r="N120" s="14">
        <v>231</v>
      </c>
      <c r="O120" s="17">
        <f t="shared" si="2"/>
        <v>1.3102272727272726E-2</v>
      </c>
      <c r="P120" s="7">
        <v>19</v>
      </c>
      <c r="Q120" s="7">
        <v>25</v>
      </c>
      <c r="R120" s="19">
        <f t="shared" si="3"/>
        <v>17600</v>
      </c>
    </row>
    <row r="121" spans="1:18" x14ac:dyDescent="0.2">
      <c r="A121" s="5">
        <v>14</v>
      </c>
      <c r="B121" s="6">
        <v>45985</v>
      </c>
      <c r="C121" s="7" t="s">
        <v>38</v>
      </c>
      <c r="D121" s="7" t="s">
        <v>30</v>
      </c>
      <c r="E121" s="7" t="s">
        <v>31</v>
      </c>
      <c r="F121" s="6">
        <v>46010</v>
      </c>
      <c r="G121" s="7">
        <v>255</v>
      </c>
      <c r="H121" s="7">
        <v>2</v>
      </c>
      <c r="I121" s="7">
        <v>7</v>
      </c>
      <c r="J121" s="14">
        <v>1</v>
      </c>
      <c r="K121" s="14">
        <v>1320</v>
      </c>
      <c r="L121" s="14">
        <v>1318.6</v>
      </c>
      <c r="M121" s="7" t="s">
        <v>32</v>
      </c>
      <c r="N121" s="14">
        <v>1319</v>
      </c>
      <c r="O121" s="17">
        <f t="shared" si="2"/>
        <v>2.5854901960784313E-2</v>
      </c>
      <c r="P121" s="7">
        <v>38</v>
      </c>
      <c r="Q121" s="7">
        <v>25</v>
      </c>
      <c r="R121" s="19">
        <f t="shared" si="3"/>
        <v>51000</v>
      </c>
    </row>
    <row r="122" spans="1:18" x14ac:dyDescent="0.2">
      <c r="A122" s="5">
        <v>14</v>
      </c>
      <c r="B122" s="6">
        <v>45985</v>
      </c>
      <c r="C122" s="7" t="s">
        <v>36</v>
      </c>
      <c r="D122" s="7" t="s">
        <v>30</v>
      </c>
      <c r="E122" s="7" t="s">
        <v>31</v>
      </c>
      <c r="F122" s="6">
        <v>46010</v>
      </c>
      <c r="G122" s="7">
        <v>18</v>
      </c>
      <c r="H122" s="7">
        <v>1</v>
      </c>
      <c r="I122" s="7">
        <v>0</v>
      </c>
      <c r="J122" s="14">
        <v>-0.3</v>
      </c>
      <c r="K122" s="14">
        <v>34</v>
      </c>
      <c r="L122" s="14">
        <v>34.299999999999997</v>
      </c>
      <c r="M122" s="7" t="s">
        <v>32</v>
      </c>
      <c r="N122" s="14">
        <v>34</v>
      </c>
      <c r="O122" s="17">
        <f t="shared" si="2"/>
        <v>1.9055555555555555E-2</v>
      </c>
      <c r="P122" s="7">
        <v>28</v>
      </c>
      <c r="Q122" s="7">
        <v>25</v>
      </c>
      <c r="R122" s="19">
        <f t="shared" si="3"/>
        <v>1800</v>
      </c>
    </row>
    <row r="123" spans="1:18" x14ac:dyDescent="0.2">
      <c r="A123" s="5">
        <v>14</v>
      </c>
      <c r="B123" s="6">
        <v>45985</v>
      </c>
      <c r="C123" s="7" t="s">
        <v>36</v>
      </c>
      <c r="D123" s="7" t="s">
        <v>30</v>
      </c>
      <c r="E123" s="7" t="s">
        <v>31</v>
      </c>
      <c r="F123" s="6">
        <v>46010</v>
      </c>
      <c r="G123" s="7">
        <v>18</v>
      </c>
      <c r="H123" s="7">
        <v>1</v>
      </c>
      <c r="I123" s="7">
        <v>0</v>
      </c>
      <c r="J123" s="14">
        <v>-0.3</v>
      </c>
      <c r="K123" s="14">
        <v>34</v>
      </c>
      <c r="L123" s="14">
        <v>34.299999999999997</v>
      </c>
      <c r="M123" s="7" t="s">
        <v>32</v>
      </c>
      <c r="N123" s="14">
        <v>34</v>
      </c>
      <c r="O123" s="17">
        <f t="shared" si="2"/>
        <v>1.9055555555555555E-2</v>
      </c>
      <c r="P123" s="7">
        <v>28</v>
      </c>
      <c r="Q123" s="7">
        <v>25</v>
      </c>
      <c r="R123" s="19">
        <f t="shared" si="3"/>
        <v>1800</v>
      </c>
    </row>
    <row r="124" spans="1:18" x14ac:dyDescent="0.2">
      <c r="A124" s="5">
        <v>14</v>
      </c>
      <c r="B124" s="6">
        <v>45985</v>
      </c>
      <c r="C124" s="7" t="s">
        <v>36</v>
      </c>
      <c r="D124" s="7" t="s">
        <v>30</v>
      </c>
      <c r="E124" s="7" t="s">
        <v>31</v>
      </c>
      <c r="F124" s="6">
        <v>46010</v>
      </c>
      <c r="G124" s="7">
        <v>18</v>
      </c>
      <c r="H124" s="7">
        <v>1</v>
      </c>
      <c r="I124" s="7">
        <v>0</v>
      </c>
      <c r="J124" s="14">
        <v>-0.3</v>
      </c>
      <c r="K124" s="14">
        <v>34</v>
      </c>
      <c r="L124" s="14">
        <v>34.299999999999997</v>
      </c>
      <c r="M124" s="7" t="s">
        <v>32</v>
      </c>
      <c r="N124" s="14">
        <v>34</v>
      </c>
      <c r="O124" s="17">
        <f t="shared" si="2"/>
        <v>1.9055555555555555E-2</v>
      </c>
      <c r="P124" s="7">
        <v>28</v>
      </c>
      <c r="Q124" s="7">
        <v>25</v>
      </c>
      <c r="R124" s="19">
        <f t="shared" si="3"/>
        <v>1800</v>
      </c>
    </row>
    <row r="125" spans="1:18" x14ac:dyDescent="0.2">
      <c r="A125" s="5">
        <v>14</v>
      </c>
      <c r="B125" s="6">
        <v>45985</v>
      </c>
      <c r="C125" s="7" t="s">
        <v>36</v>
      </c>
      <c r="D125" s="7" t="s">
        <v>30</v>
      </c>
      <c r="E125" s="7" t="s">
        <v>31</v>
      </c>
      <c r="F125" s="6">
        <v>46010</v>
      </c>
      <c r="G125" s="7">
        <v>18</v>
      </c>
      <c r="H125" s="7">
        <v>3</v>
      </c>
      <c r="I125" s="7">
        <v>0</v>
      </c>
      <c r="J125" s="14">
        <v>2</v>
      </c>
      <c r="K125" s="14">
        <v>102</v>
      </c>
      <c r="L125" s="14">
        <v>99.9</v>
      </c>
      <c r="M125" s="7" t="s">
        <v>32</v>
      </c>
      <c r="N125" s="14">
        <v>100</v>
      </c>
      <c r="O125" s="17">
        <f t="shared" si="2"/>
        <v>1.8500000000000003E-2</v>
      </c>
      <c r="P125" s="7">
        <v>28</v>
      </c>
      <c r="Q125" s="7">
        <v>25</v>
      </c>
      <c r="R125" s="19">
        <f t="shared" si="3"/>
        <v>5400</v>
      </c>
    </row>
    <row r="126" spans="1:18" x14ac:dyDescent="0.2">
      <c r="A126" s="5">
        <v>14</v>
      </c>
      <c r="B126" s="6">
        <v>45985</v>
      </c>
      <c r="C126" s="7" t="s">
        <v>39</v>
      </c>
      <c r="D126" s="7" t="s">
        <v>30</v>
      </c>
      <c r="E126" s="7" t="s">
        <v>31</v>
      </c>
      <c r="F126" s="6">
        <v>46010</v>
      </c>
      <c r="G126" s="7">
        <v>183</v>
      </c>
      <c r="H126" s="7">
        <v>1</v>
      </c>
      <c r="I126" s="7">
        <v>4</v>
      </c>
      <c r="J126" s="14">
        <v>1</v>
      </c>
      <c r="K126" s="14">
        <v>432</v>
      </c>
      <c r="L126" s="14">
        <v>430.95</v>
      </c>
      <c r="M126" s="7" t="s">
        <v>32</v>
      </c>
      <c r="N126" s="14">
        <v>431</v>
      </c>
      <c r="O126" s="17">
        <f t="shared" si="2"/>
        <v>2.3549180327868853E-2</v>
      </c>
      <c r="P126" s="7">
        <v>35</v>
      </c>
      <c r="Q126" s="7">
        <v>25</v>
      </c>
      <c r="R126" s="19">
        <f t="shared" si="3"/>
        <v>18300</v>
      </c>
    </row>
    <row r="127" spans="1:18" x14ac:dyDescent="0.2">
      <c r="A127" s="5">
        <v>14</v>
      </c>
      <c r="B127" s="6">
        <v>45985</v>
      </c>
      <c r="C127" s="7" t="s">
        <v>39</v>
      </c>
      <c r="D127" s="7" t="s">
        <v>30</v>
      </c>
      <c r="E127" s="7" t="s">
        <v>31</v>
      </c>
      <c r="F127" s="6">
        <v>46010</v>
      </c>
      <c r="G127" s="7">
        <v>183</v>
      </c>
      <c r="H127" s="7">
        <v>1</v>
      </c>
      <c r="I127" s="7">
        <v>4</v>
      </c>
      <c r="J127" s="14">
        <v>0</v>
      </c>
      <c r="K127" s="14">
        <v>432</v>
      </c>
      <c r="L127" s="14">
        <v>431.65</v>
      </c>
      <c r="M127" s="7" t="s">
        <v>32</v>
      </c>
      <c r="N127" s="14">
        <v>432</v>
      </c>
      <c r="O127" s="17">
        <f t="shared" si="2"/>
        <v>2.358743169398907E-2</v>
      </c>
      <c r="P127" s="7">
        <v>35</v>
      </c>
      <c r="Q127" s="7">
        <v>25</v>
      </c>
      <c r="R127" s="19">
        <f t="shared" si="3"/>
        <v>18300</v>
      </c>
    </row>
    <row r="128" spans="1:18" x14ac:dyDescent="0.2">
      <c r="A128" s="5">
        <v>15</v>
      </c>
      <c r="B128" s="6">
        <v>46001</v>
      </c>
      <c r="C128" s="7" t="s">
        <v>35</v>
      </c>
      <c r="D128" s="7" t="s">
        <v>30</v>
      </c>
      <c r="E128" s="7" t="s">
        <v>31</v>
      </c>
      <c r="F128" s="6">
        <v>46010</v>
      </c>
      <c r="G128" s="7">
        <v>340</v>
      </c>
      <c r="H128" s="7">
        <v>1</v>
      </c>
      <c r="I128" s="7">
        <v>11</v>
      </c>
      <c r="J128" s="14">
        <v>1</v>
      </c>
      <c r="K128" s="14">
        <v>1099</v>
      </c>
      <c r="L128" s="14">
        <v>1097.98</v>
      </c>
      <c r="M128" s="7" t="s">
        <v>32</v>
      </c>
      <c r="N128" s="14">
        <v>1098</v>
      </c>
      <c r="O128" s="17">
        <f t="shared" si="2"/>
        <v>3.2293529411764707E-2</v>
      </c>
      <c r="P128" s="7">
        <v>131</v>
      </c>
      <c r="Q128" s="7">
        <v>9</v>
      </c>
      <c r="R128" s="19">
        <f t="shared" si="3"/>
        <v>34000</v>
      </c>
    </row>
    <row r="129" spans="1:18" x14ac:dyDescent="0.2">
      <c r="A129" s="5">
        <v>15</v>
      </c>
      <c r="B129" s="6">
        <v>46001</v>
      </c>
      <c r="C129" s="7" t="s">
        <v>39</v>
      </c>
      <c r="D129" s="7" t="s">
        <v>30</v>
      </c>
      <c r="E129" s="7" t="s">
        <v>31</v>
      </c>
      <c r="F129" s="6">
        <v>46010</v>
      </c>
      <c r="G129" s="7">
        <v>245</v>
      </c>
      <c r="H129" s="7">
        <v>1</v>
      </c>
      <c r="I129" s="7">
        <v>11</v>
      </c>
      <c r="J129" s="14">
        <v>1</v>
      </c>
      <c r="K129" s="14">
        <v>1055</v>
      </c>
      <c r="L129" s="14">
        <v>1053.98</v>
      </c>
      <c r="M129" s="7" t="s">
        <v>32</v>
      </c>
      <c r="N129" s="14">
        <v>1054</v>
      </c>
      <c r="O129" s="17">
        <f t="shared" si="2"/>
        <v>4.3019591836734691E-2</v>
      </c>
      <c r="P129" s="7">
        <v>175</v>
      </c>
      <c r="Q129" s="7">
        <v>9</v>
      </c>
      <c r="R129" s="19">
        <f t="shared" si="3"/>
        <v>24500</v>
      </c>
    </row>
    <row r="130" spans="1:18" x14ac:dyDescent="0.2">
      <c r="A130" s="5"/>
      <c r="B130" s="6">
        <v>46010</v>
      </c>
      <c r="C130" s="7" t="s">
        <v>27</v>
      </c>
      <c r="D130" s="7" t="s">
        <v>2</v>
      </c>
      <c r="E130" s="7" t="s">
        <v>18</v>
      </c>
      <c r="F130" s="7"/>
      <c r="G130" s="7"/>
      <c r="H130" s="7">
        <v>600</v>
      </c>
      <c r="I130" s="7">
        <v>18</v>
      </c>
      <c r="J130" s="14">
        <v>0</v>
      </c>
      <c r="K130" s="14">
        <v>10500</v>
      </c>
      <c r="L130" s="14">
        <v>10499.9</v>
      </c>
      <c r="M130" s="7" t="s">
        <v>18</v>
      </c>
      <c r="N130" s="14"/>
      <c r="O130" s="17" t="str">
        <f t="shared" ref="O130:O193" si="4">IFERROR(L130/(G130*100*H130),"")</f>
        <v/>
      </c>
      <c r="P130" s="7"/>
      <c r="Q130" s="7"/>
      <c r="R130" s="1">
        <f t="shared" ref="R130:R193" si="5">H130*G130*100</f>
        <v>0</v>
      </c>
    </row>
    <row r="131" spans="1:18" x14ac:dyDescent="0.2">
      <c r="A131" s="5">
        <v>16</v>
      </c>
      <c r="B131" s="6">
        <v>46013</v>
      </c>
      <c r="C131" s="7" t="s">
        <v>40</v>
      </c>
      <c r="D131" s="7" t="s">
        <v>30</v>
      </c>
      <c r="E131" s="7" t="s">
        <v>31</v>
      </c>
      <c r="F131" s="6">
        <v>46038</v>
      </c>
      <c r="G131" s="7">
        <v>13</v>
      </c>
      <c r="H131" s="7">
        <v>2</v>
      </c>
      <c r="I131" s="7">
        <v>0</v>
      </c>
      <c r="J131" s="14">
        <v>-0.67</v>
      </c>
      <c r="K131" s="14">
        <v>50</v>
      </c>
      <c r="L131" s="14">
        <v>50.67</v>
      </c>
      <c r="M131" s="7" t="s">
        <v>32</v>
      </c>
      <c r="N131" s="14">
        <v>51</v>
      </c>
      <c r="O131" s="17">
        <f t="shared" si="4"/>
        <v>1.9488461538461538E-2</v>
      </c>
      <c r="P131" s="7">
        <v>28</v>
      </c>
      <c r="Q131" s="7">
        <v>25</v>
      </c>
      <c r="R131" s="19">
        <f t="shared" si="5"/>
        <v>2600</v>
      </c>
    </row>
    <row r="132" spans="1:18" x14ac:dyDescent="0.2">
      <c r="A132" s="5">
        <v>16</v>
      </c>
      <c r="B132" s="6">
        <v>46013</v>
      </c>
      <c r="C132" s="7" t="s">
        <v>40</v>
      </c>
      <c r="D132" s="7" t="s">
        <v>30</v>
      </c>
      <c r="E132" s="7" t="s">
        <v>31</v>
      </c>
      <c r="F132" s="6">
        <v>46038</v>
      </c>
      <c r="G132" s="7">
        <v>13</v>
      </c>
      <c r="H132" s="7">
        <v>3</v>
      </c>
      <c r="I132" s="7">
        <v>0</v>
      </c>
      <c r="J132" s="14">
        <v>2</v>
      </c>
      <c r="K132" s="14">
        <v>75</v>
      </c>
      <c r="L132" s="14">
        <v>73</v>
      </c>
      <c r="M132" s="7" t="s">
        <v>32</v>
      </c>
      <c r="N132" s="14">
        <v>73</v>
      </c>
      <c r="O132" s="17">
        <f t="shared" si="4"/>
        <v>1.8717948717948719E-2</v>
      </c>
      <c r="P132" s="7">
        <v>28</v>
      </c>
      <c r="Q132" s="7">
        <v>25</v>
      </c>
      <c r="R132" s="19">
        <f t="shared" si="5"/>
        <v>3900</v>
      </c>
    </row>
    <row r="133" spans="1:18" x14ac:dyDescent="0.2">
      <c r="A133" s="5">
        <v>16</v>
      </c>
      <c r="B133" s="6">
        <v>46013</v>
      </c>
      <c r="C133" s="7" t="s">
        <v>40</v>
      </c>
      <c r="D133" s="7" t="s">
        <v>30</v>
      </c>
      <c r="E133" s="7" t="s">
        <v>31</v>
      </c>
      <c r="F133" s="6">
        <v>46038</v>
      </c>
      <c r="G133" s="7">
        <v>13</v>
      </c>
      <c r="H133" s="7">
        <v>1</v>
      </c>
      <c r="I133" s="7">
        <v>0</v>
      </c>
      <c r="J133" s="14">
        <v>-0.33</v>
      </c>
      <c r="K133" s="14">
        <v>25</v>
      </c>
      <c r="L133" s="14">
        <v>25.33</v>
      </c>
      <c r="M133" s="7" t="s">
        <v>32</v>
      </c>
      <c r="N133" s="14">
        <v>25</v>
      </c>
      <c r="O133" s="17">
        <f t="shared" si="4"/>
        <v>1.9484615384615385E-2</v>
      </c>
      <c r="P133" s="7">
        <v>28</v>
      </c>
      <c r="Q133" s="7">
        <v>25</v>
      </c>
      <c r="R133" s="19">
        <f t="shared" si="5"/>
        <v>1300</v>
      </c>
    </row>
    <row r="134" spans="1:18" x14ac:dyDescent="0.2">
      <c r="A134" s="5">
        <v>16</v>
      </c>
      <c r="B134" s="6">
        <v>46013</v>
      </c>
      <c r="C134" s="7" t="s">
        <v>35</v>
      </c>
      <c r="D134" s="7" t="s">
        <v>30</v>
      </c>
      <c r="E134" s="7" t="s">
        <v>31</v>
      </c>
      <c r="F134" s="6">
        <v>46038</v>
      </c>
      <c r="G134" s="7">
        <v>310</v>
      </c>
      <c r="H134" s="7">
        <v>1</v>
      </c>
      <c r="I134" s="7">
        <v>7</v>
      </c>
      <c r="J134" s="14">
        <v>1</v>
      </c>
      <c r="K134" s="14">
        <v>727</v>
      </c>
      <c r="L134" s="14">
        <v>725.98</v>
      </c>
      <c r="M134" s="7" t="s">
        <v>32</v>
      </c>
      <c r="N134" s="14">
        <v>726</v>
      </c>
      <c r="O134" s="17">
        <f t="shared" si="4"/>
        <v>2.3418709677419356E-2</v>
      </c>
      <c r="P134" s="7">
        <v>34</v>
      </c>
      <c r="Q134" s="7">
        <v>25</v>
      </c>
      <c r="R134" s="19">
        <f t="shared" si="5"/>
        <v>31000</v>
      </c>
    </row>
    <row r="135" spans="1:18" x14ac:dyDescent="0.2">
      <c r="A135" s="5">
        <v>16</v>
      </c>
      <c r="B135" s="6">
        <v>46013</v>
      </c>
      <c r="C135" s="7" t="s">
        <v>17</v>
      </c>
      <c r="D135" s="7" t="s">
        <v>30</v>
      </c>
      <c r="E135" s="7" t="s">
        <v>31</v>
      </c>
      <c r="F135" s="6">
        <v>46038</v>
      </c>
      <c r="G135" s="7">
        <v>250</v>
      </c>
      <c r="H135" s="7">
        <v>1</v>
      </c>
      <c r="I135" s="7">
        <v>2</v>
      </c>
      <c r="J135" s="14">
        <v>1</v>
      </c>
      <c r="K135" s="14">
        <v>173</v>
      </c>
      <c r="L135" s="14">
        <v>172.33</v>
      </c>
      <c r="M135" s="7" t="s">
        <v>32</v>
      </c>
      <c r="N135" s="14">
        <v>172</v>
      </c>
      <c r="O135" s="17">
        <f t="shared" si="4"/>
        <v>6.8932000000000004E-3</v>
      </c>
      <c r="P135" s="7">
        <v>10</v>
      </c>
      <c r="Q135" s="7">
        <v>25</v>
      </c>
      <c r="R135" s="19">
        <f t="shared" si="5"/>
        <v>25000</v>
      </c>
    </row>
    <row r="136" spans="1:18" x14ac:dyDescent="0.2">
      <c r="A136" s="5">
        <v>16</v>
      </c>
      <c r="B136" s="6">
        <v>46013</v>
      </c>
      <c r="C136" s="7" t="s">
        <v>17</v>
      </c>
      <c r="D136" s="7" t="s">
        <v>30</v>
      </c>
      <c r="E136" s="7" t="s">
        <v>31</v>
      </c>
      <c r="F136" s="6">
        <v>46038</v>
      </c>
      <c r="G136" s="7">
        <v>250</v>
      </c>
      <c r="H136" s="7">
        <v>1</v>
      </c>
      <c r="I136" s="7">
        <v>2</v>
      </c>
      <c r="J136" s="14">
        <v>0</v>
      </c>
      <c r="K136" s="14">
        <v>174</v>
      </c>
      <c r="L136" s="14">
        <v>173.98</v>
      </c>
      <c r="M136" s="7" t="s">
        <v>32</v>
      </c>
      <c r="N136" s="14">
        <v>174</v>
      </c>
      <c r="O136" s="17">
        <f t="shared" si="4"/>
        <v>6.9591999999999996E-3</v>
      </c>
      <c r="P136" s="7">
        <v>10</v>
      </c>
      <c r="Q136" s="7">
        <v>25</v>
      </c>
      <c r="R136" s="19">
        <f t="shared" si="5"/>
        <v>25000</v>
      </c>
    </row>
    <row r="137" spans="1:18" x14ac:dyDescent="0.2">
      <c r="A137" s="5">
        <v>16</v>
      </c>
      <c r="B137" s="6">
        <v>46013</v>
      </c>
      <c r="C137" s="7" t="s">
        <v>17</v>
      </c>
      <c r="D137" s="7" t="s">
        <v>30</v>
      </c>
      <c r="E137" s="7" t="s">
        <v>31</v>
      </c>
      <c r="F137" s="6">
        <v>46038</v>
      </c>
      <c r="G137" s="7">
        <v>250</v>
      </c>
      <c r="H137" s="7">
        <v>1</v>
      </c>
      <c r="I137" s="7">
        <v>2</v>
      </c>
      <c r="J137" s="14">
        <v>0</v>
      </c>
      <c r="K137" s="14">
        <v>174</v>
      </c>
      <c r="L137" s="14">
        <v>173.68</v>
      </c>
      <c r="M137" s="7" t="s">
        <v>32</v>
      </c>
      <c r="N137" s="14">
        <v>174</v>
      </c>
      <c r="O137" s="17">
        <f t="shared" si="4"/>
        <v>6.9472000000000006E-3</v>
      </c>
      <c r="P137" s="7">
        <v>10</v>
      </c>
      <c r="Q137" s="7">
        <v>25</v>
      </c>
      <c r="R137" s="19">
        <f t="shared" si="5"/>
        <v>25000</v>
      </c>
    </row>
    <row r="138" spans="1:18" x14ac:dyDescent="0.2">
      <c r="A138" s="5">
        <v>16</v>
      </c>
      <c r="B138" s="6">
        <v>46013</v>
      </c>
      <c r="C138" s="7" t="s">
        <v>26</v>
      </c>
      <c r="D138" s="7" t="s">
        <v>30</v>
      </c>
      <c r="E138" s="7" t="s">
        <v>31</v>
      </c>
      <c r="F138" s="6">
        <v>46038</v>
      </c>
      <c r="G138" s="7">
        <v>55</v>
      </c>
      <c r="H138" s="7">
        <v>1</v>
      </c>
      <c r="I138" s="7">
        <v>1</v>
      </c>
      <c r="J138" s="14">
        <v>0</v>
      </c>
      <c r="K138" s="14">
        <v>112</v>
      </c>
      <c r="L138" s="14">
        <v>111.68</v>
      </c>
      <c r="M138" s="7" t="s">
        <v>32</v>
      </c>
      <c r="N138" s="14">
        <v>112</v>
      </c>
      <c r="O138" s="17">
        <f t="shared" si="4"/>
        <v>2.0305454545454547E-2</v>
      </c>
      <c r="P138" s="7">
        <v>30</v>
      </c>
      <c r="Q138" s="7">
        <v>25</v>
      </c>
      <c r="R138" s="19">
        <f t="shared" si="5"/>
        <v>5500</v>
      </c>
    </row>
    <row r="139" spans="1:18" x14ac:dyDescent="0.2">
      <c r="A139" s="5">
        <v>16</v>
      </c>
      <c r="B139" s="6">
        <v>46013</v>
      </c>
      <c r="C139" s="7" t="s">
        <v>26</v>
      </c>
      <c r="D139" s="7" t="s">
        <v>30</v>
      </c>
      <c r="E139" s="7" t="s">
        <v>31</v>
      </c>
      <c r="F139" s="6">
        <v>46038</v>
      </c>
      <c r="G139" s="7">
        <v>55</v>
      </c>
      <c r="H139" s="7">
        <v>1</v>
      </c>
      <c r="I139" s="7">
        <v>1</v>
      </c>
      <c r="J139" s="14">
        <v>1</v>
      </c>
      <c r="K139" s="14">
        <v>112</v>
      </c>
      <c r="L139" s="14">
        <v>110.98</v>
      </c>
      <c r="M139" s="7" t="s">
        <v>32</v>
      </c>
      <c r="N139" s="14">
        <v>111</v>
      </c>
      <c r="O139" s="17">
        <f t="shared" si="4"/>
        <v>2.0178181818181817E-2</v>
      </c>
      <c r="P139" s="7">
        <v>30</v>
      </c>
      <c r="Q139" s="7">
        <v>25</v>
      </c>
      <c r="R139" s="19">
        <f t="shared" si="5"/>
        <v>5500</v>
      </c>
    </row>
    <row r="140" spans="1:18" x14ac:dyDescent="0.2">
      <c r="A140" s="5">
        <v>16</v>
      </c>
      <c r="B140" s="6">
        <v>46013</v>
      </c>
      <c r="C140" s="7" t="s">
        <v>41</v>
      </c>
      <c r="D140" s="7" t="s">
        <v>30</v>
      </c>
      <c r="E140" s="7" t="s">
        <v>31</v>
      </c>
      <c r="F140" s="6">
        <v>46038</v>
      </c>
      <c r="G140" s="7">
        <v>89</v>
      </c>
      <c r="H140" s="7">
        <v>1</v>
      </c>
      <c r="I140" s="7">
        <v>1</v>
      </c>
      <c r="J140" s="14">
        <v>1</v>
      </c>
      <c r="K140" s="14">
        <v>126</v>
      </c>
      <c r="L140" s="14">
        <v>124.98</v>
      </c>
      <c r="M140" s="7" t="s">
        <v>32</v>
      </c>
      <c r="N140" s="14">
        <v>125</v>
      </c>
      <c r="O140" s="17">
        <f t="shared" si="4"/>
        <v>1.4042696629213484E-2</v>
      </c>
      <c r="P140" s="7">
        <v>21</v>
      </c>
      <c r="Q140" s="7">
        <v>25</v>
      </c>
      <c r="R140" s="19">
        <f t="shared" si="5"/>
        <v>8900</v>
      </c>
    </row>
    <row r="141" spans="1:18" x14ac:dyDescent="0.2">
      <c r="A141" s="5">
        <v>16</v>
      </c>
      <c r="B141" s="6">
        <v>46013</v>
      </c>
      <c r="C141" s="7" t="s">
        <v>41</v>
      </c>
      <c r="D141" s="7" t="s">
        <v>30</v>
      </c>
      <c r="E141" s="7" t="s">
        <v>31</v>
      </c>
      <c r="F141" s="6">
        <v>46038</v>
      </c>
      <c r="G141" s="7">
        <v>89</v>
      </c>
      <c r="H141" s="7">
        <v>1</v>
      </c>
      <c r="I141" s="7">
        <v>1</v>
      </c>
      <c r="J141" s="14">
        <v>0</v>
      </c>
      <c r="K141" s="14">
        <v>126</v>
      </c>
      <c r="L141" s="14">
        <v>125.68</v>
      </c>
      <c r="M141" s="7" t="s">
        <v>32</v>
      </c>
      <c r="N141" s="14">
        <v>126</v>
      </c>
      <c r="O141" s="17">
        <f t="shared" si="4"/>
        <v>1.4121348314606742E-2</v>
      </c>
      <c r="P141" s="7">
        <v>21</v>
      </c>
      <c r="Q141" s="7">
        <v>25</v>
      </c>
      <c r="R141" s="19">
        <f t="shared" si="5"/>
        <v>8900</v>
      </c>
    </row>
    <row r="142" spans="1:18" x14ac:dyDescent="0.2">
      <c r="A142" s="5">
        <v>16</v>
      </c>
      <c r="B142" s="6">
        <v>46013</v>
      </c>
      <c r="C142" s="7" t="s">
        <v>42</v>
      </c>
      <c r="D142" s="7" t="s">
        <v>30</v>
      </c>
      <c r="E142" s="7" t="s">
        <v>31</v>
      </c>
      <c r="F142" s="6">
        <v>46038</v>
      </c>
      <c r="G142" s="7">
        <v>60</v>
      </c>
      <c r="H142" s="7">
        <v>1</v>
      </c>
      <c r="I142" s="7">
        <v>1</v>
      </c>
      <c r="J142" s="14">
        <v>1</v>
      </c>
      <c r="K142" s="14">
        <v>107</v>
      </c>
      <c r="L142" s="14">
        <v>105.98</v>
      </c>
      <c r="M142" s="7" t="s">
        <v>32</v>
      </c>
      <c r="N142" s="14">
        <v>106</v>
      </c>
      <c r="O142" s="17">
        <f t="shared" si="4"/>
        <v>1.7663333333333333E-2</v>
      </c>
      <c r="P142" s="7">
        <v>26</v>
      </c>
      <c r="Q142" s="7">
        <v>25</v>
      </c>
      <c r="R142" s="19">
        <f t="shared" si="5"/>
        <v>6000</v>
      </c>
    </row>
    <row r="143" spans="1:18" x14ac:dyDescent="0.2">
      <c r="A143" s="5">
        <v>16</v>
      </c>
      <c r="B143" s="6">
        <v>46013</v>
      </c>
      <c r="C143" s="7" t="s">
        <v>42</v>
      </c>
      <c r="D143" s="7" t="s">
        <v>30</v>
      </c>
      <c r="E143" s="7" t="s">
        <v>31</v>
      </c>
      <c r="F143" s="6">
        <v>46038</v>
      </c>
      <c r="G143" s="7">
        <v>60</v>
      </c>
      <c r="H143" s="7">
        <v>1</v>
      </c>
      <c r="I143" s="7">
        <v>1</v>
      </c>
      <c r="J143" s="14">
        <v>0</v>
      </c>
      <c r="K143" s="14">
        <v>107</v>
      </c>
      <c r="L143" s="14">
        <v>106.68</v>
      </c>
      <c r="M143" s="7" t="s">
        <v>32</v>
      </c>
      <c r="N143" s="14">
        <v>107</v>
      </c>
      <c r="O143" s="17">
        <f t="shared" si="4"/>
        <v>1.7780000000000001E-2</v>
      </c>
      <c r="P143" s="7">
        <v>26</v>
      </c>
      <c r="Q143" s="7">
        <v>25</v>
      </c>
      <c r="R143" s="19">
        <f t="shared" si="5"/>
        <v>6000</v>
      </c>
    </row>
    <row r="144" spans="1:18" x14ac:dyDescent="0.2">
      <c r="A144" s="5">
        <v>16</v>
      </c>
      <c r="B144" s="6">
        <v>46013</v>
      </c>
      <c r="C144" s="7" t="s">
        <v>36</v>
      </c>
      <c r="D144" s="7" t="s">
        <v>30</v>
      </c>
      <c r="E144" s="7" t="s">
        <v>31</v>
      </c>
      <c r="F144" s="6">
        <v>46038</v>
      </c>
      <c r="G144" s="7">
        <v>20</v>
      </c>
      <c r="H144" s="7">
        <v>3</v>
      </c>
      <c r="I144" s="7">
        <v>0</v>
      </c>
      <c r="J144" s="14">
        <v>2</v>
      </c>
      <c r="K144" s="14">
        <v>87</v>
      </c>
      <c r="L144" s="14">
        <v>85</v>
      </c>
      <c r="M144" s="7" t="s">
        <v>32</v>
      </c>
      <c r="N144" s="14">
        <v>85</v>
      </c>
      <c r="O144" s="17">
        <f t="shared" si="4"/>
        <v>1.4166666666666666E-2</v>
      </c>
      <c r="P144" s="7">
        <v>21</v>
      </c>
      <c r="Q144" s="7">
        <v>25</v>
      </c>
      <c r="R144" s="19">
        <f t="shared" si="5"/>
        <v>6000</v>
      </c>
    </row>
    <row r="145" spans="1:18" x14ac:dyDescent="0.2">
      <c r="A145" s="5">
        <v>16</v>
      </c>
      <c r="B145" s="6">
        <v>46013</v>
      </c>
      <c r="C145" s="7" t="s">
        <v>36</v>
      </c>
      <c r="D145" s="7" t="s">
        <v>30</v>
      </c>
      <c r="E145" s="7" t="s">
        <v>31</v>
      </c>
      <c r="F145" s="6">
        <v>46038</v>
      </c>
      <c r="G145" s="7">
        <v>20</v>
      </c>
      <c r="H145" s="7">
        <v>3</v>
      </c>
      <c r="I145" s="7">
        <v>0</v>
      </c>
      <c r="J145" s="14">
        <v>2</v>
      </c>
      <c r="K145" s="14">
        <v>87</v>
      </c>
      <c r="L145" s="14">
        <v>85</v>
      </c>
      <c r="M145" s="7" t="s">
        <v>32</v>
      </c>
      <c r="N145" s="14">
        <v>85</v>
      </c>
      <c r="O145" s="17">
        <f t="shared" si="4"/>
        <v>1.4166666666666666E-2</v>
      </c>
      <c r="P145" s="7">
        <v>21</v>
      </c>
      <c r="Q145" s="7">
        <v>25</v>
      </c>
      <c r="R145" s="19">
        <f t="shared" si="5"/>
        <v>6000</v>
      </c>
    </row>
    <row r="146" spans="1:18" x14ac:dyDescent="0.2">
      <c r="A146" s="5">
        <v>16</v>
      </c>
      <c r="B146" s="6">
        <v>46013</v>
      </c>
      <c r="C146" s="7" t="s">
        <v>38</v>
      </c>
      <c r="D146" s="7" t="s">
        <v>30</v>
      </c>
      <c r="E146" s="7" t="s">
        <v>31</v>
      </c>
      <c r="F146" s="6">
        <v>46038</v>
      </c>
      <c r="G146" s="7">
        <v>245</v>
      </c>
      <c r="H146" s="7">
        <v>1</v>
      </c>
      <c r="I146" s="7">
        <v>3</v>
      </c>
      <c r="J146" s="14">
        <v>1</v>
      </c>
      <c r="K146" s="14">
        <v>328</v>
      </c>
      <c r="L146" s="14">
        <v>326.98</v>
      </c>
      <c r="M146" s="7" t="s">
        <v>32</v>
      </c>
      <c r="N146" s="14">
        <v>327</v>
      </c>
      <c r="O146" s="17">
        <f t="shared" si="4"/>
        <v>1.3346122448979593E-2</v>
      </c>
      <c r="P146" s="7">
        <v>20</v>
      </c>
      <c r="Q146" s="7">
        <v>25</v>
      </c>
      <c r="R146" s="19">
        <f t="shared" si="5"/>
        <v>24500</v>
      </c>
    </row>
    <row r="147" spans="1:18" x14ac:dyDescent="0.2">
      <c r="A147" s="5">
        <v>16</v>
      </c>
      <c r="B147" s="6">
        <v>46013</v>
      </c>
      <c r="C147" s="7" t="s">
        <v>38</v>
      </c>
      <c r="D147" s="7" t="s">
        <v>30</v>
      </c>
      <c r="E147" s="7" t="s">
        <v>31</v>
      </c>
      <c r="F147" s="6">
        <v>46038</v>
      </c>
      <c r="G147" s="7">
        <v>245</v>
      </c>
      <c r="H147" s="7">
        <v>1</v>
      </c>
      <c r="I147" s="7">
        <v>3</v>
      </c>
      <c r="J147" s="14">
        <v>0</v>
      </c>
      <c r="K147" s="14">
        <v>328</v>
      </c>
      <c r="L147" s="14">
        <v>327.68</v>
      </c>
      <c r="M147" s="7" t="s">
        <v>32</v>
      </c>
      <c r="N147" s="14">
        <v>328</v>
      </c>
      <c r="O147" s="17">
        <f t="shared" si="4"/>
        <v>1.3374693877551021E-2</v>
      </c>
      <c r="P147" s="7">
        <v>20</v>
      </c>
      <c r="Q147" s="7">
        <v>25</v>
      </c>
      <c r="R147" s="19">
        <f t="shared" si="5"/>
        <v>24500</v>
      </c>
    </row>
    <row r="148" spans="1:18" x14ac:dyDescent="0.2">
      <c r="A148" s="5">
        <v>16</v>
      </c>
      <c r="B148" s="6">
        <v>46013</v>
      </c>
      <c r="C148" s="7" t="s">
        <v>27</v>
      </c>
      <c r="D148" s="7" t="s">
        <v>30</v>
      </c>
      <c r="E148" s="7" t="s">
        <v>31</v>
      </c>
      <c r="F148" s="6">
        <v>46038</v>
      </c>
      <c r="G148" s="7">
        <v>15</v>
      </c>
      <c r="H148" s="7">
        <v>3</v>
      </c>
      <c r="I148" s="7">
        <v>0</v>
      </c>
      <c r="J148" s="14">
        <v>2</v>
      </c>
      <c r="K148" s="14">
        <v>66</v>
      </c>
      <c r="L148" s="14">
        <v>64</v>
      </c>
      <c r="M148" s="7" t="s">
        <v>32</v>
      </c>
      <c r="N148" s="14">
        <v>64</v>
      </c>
      <c r="O148" s="17">
        <f t="shared" si="4"/>
        <v>1.4222222222222223E-2</v>
      </c>
      <c r="P148" s="7">
        <v>21</v>
      </c>
      <c r="Q148" s="7">
        <v>25</v>
      </c>
      <c r="R148" s="19">
        <f t="shared" si="5"/>
        <v>4500</v>
      </c>
    </row>
    <row r="149" spans="1:18" x14ac:dyDescent="0.2">
      <c r="A149" s="5">
        <v>16</v>
      </c>
      <c r="B149" s="6">
        <v>46013</v>
      </c>
      <c r="C149" s="7" t="s">
        <v>27</v>
      </c>
      <c r="D149" s="7" t="s">
        <v>30</v>
      </c>
      <c r="E149" s="7" t="s">
        <v>31</v>
      </c>
      <c r="F149" s="6">
        <v>46038</v>
      </c>
      <c r="G149" s="7">
        <v>15</v>
      </c>
      <c r="H149" s="7">
        <v>3</v>
      </c>
      <c r="I149" s="7">
        <v>0</v>
      </c>
      <c r="J149" s="14">
        <v>-1</v>
      </c>
      <c r="K149" s="14">
        <v>66</v>
      </c>
      <c r="L149" s="14">
        <v>67</v>
      </c>
      <c r="M149" s="7" t="s">
        <v>32</v>
      </c>
      <c r="N149" s="14">
        <v>67</v>
      </c>
      <c r="O149" s="17">
        <f t="shared" si="4"/>
        <v>1.4888888888888889E-2</v>
      </c>
      <c r="P149" s="7">
        <v>21</v>
      </c>
      <c r="Q149" s="7">
        <v>25</v>
      </c>
      <c r="R149" s="19">
        <f t="shared" si="5"/>
        <v>4500</v>
      </c>
    </row>
    <row r="150" spans="1:18" x14ac:dyDescent="0.2">
      <c r="A150" s="5">
        <v>16</v>
      </c>
      <c r="B150" s="6">
        <v>46013</v>
      </c>
      <c r="C150" s="7" t="s">
        <v>26</v>
      </c>
      <c r="D150" s="7" t="s">
        <v>43</v>
      </c>
      <c r="E150" s="7" t="s">
        <v>31</v>
      </c>
      <c r="F150" s="6">
        <v>46038</v>
      </c>
      <c r="G150" s="7">
        <v>75</v>
      </c>
      <c r="H150" s="7">
        <v>2</v>
      </c>
      <c r="I150" s="7">
        <v>3</v>
      </c>
      <c r="J150" s="14">
        <v>1</v>
      </c>
      <c r="K150" s="14">
        <v>620</v>
      </c>
      <c r="L150" s="14">
        <v>618.66999999999996</v>
      </c>
      <c r="M150" s="7" t="s">
        <v>21</v>
      </c>
      <c r="N150" s="14">
        <v>619</v>
      </c>
      <c r="O150" s="17">
        <f t="shared" si="4"/>
        <v>4.1244666666666666E-2</v>
      </c>
      <c r="P150" s="7"/>
      <c r="Q150" s="7">
        <v>25</v>
      </c>
      <c r="R150" s="19">
        <f t="shared" si="5"/>
        <v>15000</v>
      </c>
    </row>
    <row r="151" spans="1:18" x14ac:dyDescent="0.2">
      <c r="A151" s="5">
        <v>16</v>
      </c>
      <c r="B151" s="6">
        <v>46013</v>
      </c>
      <c r="C151" s="7" t="s">
        <v>26</v>
      </c>
      <c r="D151" s="7" t="s">
        <v>43</v>
      </c>
      <c r="E151" s="7" t="s">
        <v>31</v>
      </c>
      <c r="F151" s="6">
        <v>46038</v>
      </c>
      <c r="G151" s="7">
        <v>75</v>
      </c>
      <c r="H151" s="7">
        <v>2</v>
      </c>
      <c r="I151" s="7">
        <v>3</v>
      </c>
      <c r="J151" s="14">
        <v>1</v>
      </c>
      <c r="K151" s="14">
        <v>620</v>
      </c>
      <c r="L151" s="14">
        <v>618.66999999999996</v>
      </c>
      <c r="M151" s="7" t="s">
        <v>21</v>
      </c>
      <c r="N151" s="14">
        <v>619</v>
      </c>
      <c r="O151" s="17">
        <f t="shared" si="4"/>
        <v>4.1244666666666666E-2</v>
      </c>
      <c r="P151" s="7"/>
      <c r="Q151" s="7">
        <v>25</v>
      </c>
      <c r="R151" s="19">
        <f t="shared" si="5"/>
        <v>15000</v>
      </c>
    </row>
    <row r="152" spans="1:18" x14ac:dyDescent="0.2">
      <c r="A152" s="5">
        <v>16</v>
      </c>
      <c r="B152" s="6">
        <v>46013</v>
      </c>
      <c r="C152" s="7" t="s">
        <v>23</v>
      </c>
      <c r="D152" s="7" t="s">
        <v>43</v>
      </c>
      <c r="E152" s="7" t="s">
        <v>44</v>
      </c>
      <c r="F152" s="6">
        <v>46101</v>
      </c>
      <c r="G152" s="7">
        <v>18</v>
      </c>
      <c r="H152" s="7">
        <v>2</v>
      </c>
      <c r="I152" s="7">
        <v>0</v>
      </c>
      <c r="J152" s="14">
        <v>1</v>
      </c>
      <c r="K152" s="14">
        <v>-76</v>
      </c>
      <c r="L152" s="14">
        <v>-77.33</v>
      </c>
      <c r="M152" s="7" t="s">
        <v>21</v>
      </c>
      <c r="N152" s="14">
        <v>-77.33</v>
      </c>
      <c r="O152" s="17">
        <f t="shared" si="4"/>
        <v>-2.1480555555555555E-2</v>
      </c>
      <c r="P152" s="7"/>
      <c r="Q152" s="7">
        <v>88</v>
      </c>
      <c r="R152" s="19">
        <f t="shared" si="5"/>
        <v>3600</v>
      </c>
    </row>
    <row r="153" spans="1:18" x14ac:dyDescent="0.2">
      <c r="A153" s="5">
        <v>16</v>
      </c>
      <c r="B153" s="6">
        <v>46013</v>
      </c>
      <c r="C153" s="7" t="s">
        <v>23</v>
      </c>
      <c r="D153" s="7" t="s">
        <v>43</v>
      </c>
      <c r="E153" s="7" t="s">
        <v>44</v>
      </c>
      <c r="F153" s="6">
        <v>46101</v>
      </c>
      <c r="G153" s="7">
        <v>18</v>
      </c>
      <c r="H153" s="7">
        <v>2</v>
      </c>
      <c r="I153" s="7">
        <v>0</v>
      </c>
      <c r="J153" s="14">
        <v>1</v>
      </c>
      <c r="K153" s="14">
        <v>-76</v>
      </c>
      <c r="L153" s="14">
        <v>-77.33</v>
      </c>
      <c r="M153" s="7" t="s">
        <v>21</v>
      </c>
      <c r="N153" s="14">
        <v>-77.33</v>
      </c>
      <c r="O153" s="17">
        <f t="shared" si="4"/>
        <v>-2.1480555555555555E-2</v>
      </c>
      <c r="P153" s="7"/>
      <c r="Q153" s="7">
        <v>88</v>
      </c>
      <c r="R153" s="19">
        <f t="shared" si="5"/>
        <v>3600</v>
      </c>
    </row>
    <row r="154" spans="1:18" x14ac:dyDescent="0.2">
      <c r="A154" s="5">
        <v>16</v>
      </c>
      <c r="B154" s="6">
        <v>46013</v>
      </c>
      <c r="C154" s="7" t="s">
        <v>23</v>
      </c>
      <c r="D154" s="7" t="s">
        <v>43</v>
      </c>
      <c r="E154" s="7" t="s">
        <v>31</v>
      </c>
      <c r="F154" s="6">
        <v>46101</v>
      </c>
      <c r="G154" s="7">
        <v>15</v>
      </c>
      <c r="H154" s="7">
        <v>3</v>
      </c>
      <c r="I154" s="7">
        <v>1</v>
      </c>
      <c r="J154" s="14">
        <v>2</v>
      </c>
      <c r="K154" s="14">
        <v>234</v>
      </c>
      <c r="L154" s="14">
        <v>231.99</v>
      </c>
      <c r="M154" s="7" t="s">
        <v>32</v>
      </c>
      <c r="N154" s="14">
        <v>232</v>
      </c>
      <c r="O154" s="17">
        <f t="shared" si="4"/>
        <v>5.1553333333333333E-2</v>
      </c>
      <c r="P154" s="7"/>
      <c r="Q154" s="7">
        <v>88</v>
      </c>
      <c r="R154" s="19">
        <f t="shared" si="5"/>
        <v>4500</v>
      </c>
    </row>
    <row r="155" spans="1:18" x14ac:dyDescent="0.2">
      <c r="A155" s="5">
        <v>16</v>
      </c>
      <c r="B155" s="6">
        <v>46013</v>
      </c>
      <c r="C155" s="7" t="s">
        <v>28</v>
      </c>
      <c r="D155" s="7" t="s">
        <v>2</v>
      </c>
      <c r="E155" s="7" t="s">
        <v>20</v>
      </c>
      <c r="F155" s="7"/>
      <c r="G155" s="7"/>
      <c r="H155" s="7">
        <v>129</v>
      </c>
      <c r="I155" s="7">
        <v>23</v>
      </c>
      <c r="J155" s="14">
        <v>1</v>
      </c>
      <c r="K155" s="14">
        <v>3027.63</v>
      </c>
      <c r="L155" s="14">
        <v>3026.61</v>
      </c>
      <c r="M155" s="7" t="s">
        <v>21</v>
      </c>
      <c r="N155" s="14"/>
      <c r="O155" s="17" t="str">
        <f t="shared" si="4"/>
        <v/>
      </c>
      <c r="P155" s="7"/>
      <c r="Q155" s="7"/>
      <c r="R155" s="19">
        <f t="shared" si="5"/>
        <v>0</v>
      </c>
    </row>
    <row r="156" spans="1:18" x14ac:dyDescent="0.2">
      <c r="A156" s="5">
        <v>16</v>
      </c>
      <c r="B156" s="6">
        <v>46013</v>
      </c>
      <c r="C156" s="7" t="s">
        <v>28</v>
      </c>
      <c r="D156" s="7" t="s">
        <v>2</v>
      </c>
      <c r="E156" s="7" t="s">
        <v>20</v>
      </c>
      <c r="F156" s="7"/>
      <c r="G156" s="7"/>
      <c r="H156" s="7">
        <v>71</v>
      </c>
      <c r="I156" s="7">
        <v>23</v>
      </c>
      <c r="J156" s="14">
        <v>0</v>
      </c>
      <c r="K156" s="14">
        <v>1666.37</v>
      </c>
      <c r="L156" s="14">
        <v>1666.36</v>
      </c>
      <c r="M156" s="7" t="s">
        <v>21</v>
      </c>
      <c r="N156" s="14"/>
      <c r="O156" s="17" t="str">
        <f t="shared" si="4"/>
        <v/>
      </c>
      <c r="P156" s="7"/>
      <c r="Q156" s="7"/>
      <c r="R156" s="19">
        <f t="shared" si="5"/>
        <v>0</v>
      </c>
    </row>
    <row r="157" spans="1:18" x14ac:dyDescent="0.2">
      <c r="A157" s="5">
        <v>16</v>
      </c>
      <c r="B157" s="6">
        <v>46013</v>
      </c>
      <c r="C157" s="7" t="s">
        <v>39</v>
      </c>
      <c r="D157" s="7" t="s">
        <v>30</v>
      </c>
      <c r="E157" s="7" t="s">
        <v>31</v>
      </c>
      <c r="F157" s="6">
        <v>46038</v>
      </c>
      <c r="G157" s="7">
        <v>225</v>
      </c>
      <c r="H157" s="7">
        <v>1</v>
      </c>
      <c r="I157" s="7">
        <v>2</v>
      </c>
      <c r="J157" s="14">
        <v>1</v>
      </c>
      <c r="K157" s="14">
        <v>202</v>
      </c>
      <c r="L157" s="14">
        <v>200.98</v>
      </c>
      <c r="M157" s="7" t="s">
        <v>32</v>
      </c>
      <c r="N157" s="14">
        <v>201</v>
      </c>
      <c r="O157" s="17">
        <f t="shared" si="4"/>
        <v>8.9324444444444442E-3</v>
      </c>
      <c r="P157" s="7">
        <v>13</v>
      </c>
      <c r="Q157" s="7">
        <v>25</v>
      </c>
      <c r="R157" s="19">
        <f t="shared" si="5"/>
        <v>22500</v>
      </c>
    </row>
    <row r="158" spans="1:18" x14ac:dyDescent="0.2">
      <c r="A158" s="5">
        <v>16</v>
      </c>
      <c r="B158" s="6">
        <v>46013</v>
      </c>
      <c r="C158" s="7" t="s">
        <v>39</v>
      </c>
      <c r="D158" s="7" t="s">
        <v>30</v>
      </c>
      <c r="E158" s="7" t="s">
        <v>31</v>
      </c>
      <c r="F158" s="6">
        <v>46038</v>
      </c>
      <c r="G158" s="7">
        <v>225</v>
      </c>
      <c r="H158" s="7">
        <v>1</v>
      </c>
      <c r="I158" s="7">
        <v>2</v>
      </c>
      <c r="J158" s="14">
        <v>0</v>
      </c>
      <c r="K158" s="14">
        <v>202</v>
      </c>
      <c r="L158" s="14">
        <v>201.68</v>
      </c>
      <c r="M158" s="7" t="s">
        <v>32</v>
      </c>
      <c r="N158" s="14">
        <v>202</v>
      </c>
      <c r="O158" s="17">
        <f t="shared" si="4"/>
        <v>8.9635555555555562E-3</v>
      </c>
      <c r="P158" s="7">
        <v>13</v>
      </c>
      <c r="Q158" s="7">
        <v>25</v>
      </c>
      <c r="R158" s="19">
        <f t="shared" si="5"/>
        <v>22500</v>
      </c>
    </row>
    <row r="159" spans="1:18" x14ac:dyDescent="0.2">
      <c r="A159" s="8">
        <v>17</v>
      </c>
      <c r="B159" s="9">
        <v>46028</v>
      </c>
      <c r="C159" s="8" t="s">
        <v>84</v>
      </c>
      <c r="D159" s="8" t="s">
        <v>30</v>
      </c>
      <c r="E159" s="8" t="s">
        <v>31</v>
      </c>
      <c r="F159" s="9">
        <v>46038</v>
      </c>
      <c r="G159" s="8">
        <v>225</v>
      </c>
      <c r="H159" s="8">
        <v>1</v>
      </c>
      <c r="I159" s="8">
        <v>3</v>
      </c>
      <c r="J159" s="15">
        <v>1</v>
      </c>
      <c r="K159" s="15">
        <v>283</v>
      </c>
      <c r="L159" s="15">
        <v>281.95</v>
      </c>
      <c r="M159" s="8" t="s">
        <v>32</v>
      </c>
      <c r="N159" s="15">
        <v>282</v>
      </c>
      <c r="O159" s="17">
        <f t="shared" si="4"/>
        <v>1.2531111111111111E-2</v>
      </c>
      <c r="P159" s="8">
        <v>46</v>
      </c>
      <c r="Q159" s="8">
        <v>10</v>
      </c>
      <c r="R159" s="19">
        <f t="shared" si="5"/>
        <v>22500</v>
      </c>
    </row>
    <row r="160" spans="1:18" x14ac:dyDescent="0.2">
      <c r="A160" s="8">
        <v>17</v>
      </c>
      <c r="B160" s="9">
        <v>46028</v>
      </c>
      <c r="C160" s="8" t="s">
        <v>84</v>
      </c>
      <c r="D160" s="8" t="s">
        <v>30</v>
      </c>
      <c r="E160" s="8" t="s">
        <v>31</v>
      </c>
      <c r="F160" s="9">
        <v>46038</v>
      </c>
      <c r="G160" s="8">
        <v>225</v>
      </c>
      <c r="H160" s="8">
        <v>1</v>
      </c>
      <c r="I160" s="8">
        <v>3</v>
      </c>
      <c r="J160" s="15">
        <v>0</v>
      </c>
      <c r="K160" s="15">
        <v>283</v>
      </c>
      <c r="L160" s="15">
        <v>282.64999999999998</v>
      </c>
      <c r="M160" s="8" t="s">
        <v>32</v>
      </c>
      <c r="N160" s="15">
        <v>283</v>
      </c>
      <c r="O160" s="17">
        <f t="shared" si="4"/>
        <v>1.2562222222222221E-2</v>
      </c>
      <c r="P160" s="8">
        <v>46</v>
      </c>
      <c r="Q160" s="8">
        <v>10</v>
      </c>
      <c r="R160" s="19">
        <f t="shared" si="5"/>
        <v>22500</v>
      </c>
    </row>
    <row r="161" spans="1:18" x14ac:dyDescent="0.2">
      <c r="A161" s="8">
        <v>17</v>
      </c>
      <c r="B161" s="9">
        <v>46028</v>
      </c>
      <c r="C161" s="8" t="s">
        <v>82</v>
      </c>
      <c r="D161" s="8" t="s">
        <v>30</v>
      </c>
      <c r="E161" s="8" t="s">
        <v>31</v>
      </c>
      <c r="F161" s="9">
        <v>46038</v>
      </c>
      <c r="G161" s="8">
        <v>173</v>
      </c>
      <c r="H161" s="8">
        <v>1</v>
      </c>
      <c r="I161" s="8">
        <v>2</v>
      </c>
      <c r="J161" s="15">
        <v>-0.3</v>
      </c>
      <c r="K161" s="15">
        <v>239</v>
      </c>
      <c r="L161" s="15">
        <v>239.3</v>
      </c>
      <c r="M161" s="8" t="s">
        <v>32</v>
      </c>
      <c r="N161" s="15">
        <v>239</v>
      </c>
      <c r="O161" s="17">
        <f t="shared" si="4"/>
        <v>1.3832369942196533E-2</v>
      </c>
      <c r="P161" s="8">
        <v>51</v>
      </c>
      <c r="Q161" s="8">
        <v>10</v>
      </c>
      <c r="R161" s="19">
        <f t="shared" si="5"/>
        <v>17300</v>
      </c>
    </row>
    <row r="162" spans="1:18" x14ac:dyDescent="0.2">
      <c r="A162" s="8">
        <v>17</v>
      </c>
      <c r="B162" s="9">
        <v>46028</v>
      </c>
      <c r="C162" s="8" t="s">
        <v>82</v>
      </c>
      <c r="D162" s="8" t="s">
        <v>30</v>
      </c>
      <c r="E162" s="8" t="s">
        <v>31</v>
      </c>
      <c r="F162" s="9">
        <v>46038</v>
      </c>
      <c r="G162" s="8">
        <v>173</v>
      </c>
      <c r="H162" s="8">
        <v>2</v>
      </c>
      <c r="I162" s="8">
        <v>2</v>
      </c>
      <c r="J162" s="15">
        <v>1</v>
      </c>
      <c r="K162" s="15">
        <v>478</v>
      </c>
      <c r="L162" s="15">
        <v>476.6</v>
      </c>
      <c r="M162" s="8" t="s">
        <v>32</v>
      </c>
      <c r="N162" s="15">
        <v>477</v>
      </c>
      <c r="O162" s="17">
        <f t="shared" si="4"/>
        <v>1.3774566473988441E-2</v>
      </c>
      <c r="P162" s="8">
        <v>51</v>
      </c>
      <c r="Q162" s="8">
        <v>10</v>
      </c>
      <c r="R162" s="19">
        <f t="shared" si="5"/>
        <v>34600</v>
      </c>
    </row>
    <row r="163" spans="1:18" x14ac:dyDescent="0.2">
      <c r="A163" s="8">
        <v>17</v>
      </c>
      <c r="B163" s="9">
        <v>46028</v>
      </c>
      <c r="C163" s="8" t="s">
        <v>83</v>
      </c>
      <c r="D163" s="8" t="s">
        <v>30</v>
      </c>
      <c r="E163" s="8" t="s">
        <v>31</v>
      </c>
      <c r="F163" s="9">
        <v>46038</v>
      </c>
      <c r="G163" s="8">
        <v>195</v>
      </c>
      <c r="H163" s="8">
        <v>1</v>
      </c>
      <c r="I163" s="8">
        <v>1</v>
      </c>
      <c r="J163" s="15">
        <v>1</v>
      </c>
      <c r="K163" s="15">
        <v>137</v>
      </c>
      <c r="L163" s="15">
        <v>136.01</v>
      </c>
      <c r="M163" s="8" t="s">
        <v>32</v>
      </c>
      <c r="N163" s="15">
        <v>136</v>
      </c>
      <c r="O163" s="17">
        <f t="shared" si="4"/>
        <v>6.9748717948717948E-3</v>
      </c>
      <c r="P163" s="8">
        <v>26</v>
      </c>
      <c r="Q163" s="8">
        <v>10</v>
      </c>
      <c r="R163" s="19">
        <f t="shared" si="5"/>
        <v>19500</v>
      </c>
    </row>
    <row r="164" spans="1:18" x14ac:dyDescent="0.2">
      <c r="A164" s="8">
        <v>17</v>
      </c>
      <c r="B164" s="9">
        <v>46028</v>
      </c>
      <c r="C164" s="8" t="s">
        <v>83</v>
      </c>
      <c r="D164" s="8" t="s">
        <v>30</v>
      </c>
      <c r="E164" s="8" t="s">
        <v>31</v>
      </c>
      <c r="F164" s="9">
        <v>46038</v>
      </c>
      <c r="G164" s="8">
        <v>195</v>
      </c>
      <c r="H164" s="8">
        <v>1</v>
      </c>
      <c r="I164" s="8">
        <v>1</v>
      </c>
      <c r="J164" s="15">
        <v>0</v>
      </c>
      <c r="K164" s="15">
        <v>137</v>
      </c>
      <c r="L164" s="15">
        <v>136.71</v>
      </c>
      <c r="M164" s="8" t="s">
        <v>32</v>
      </c>
      <c r="N164" s="15">
        <v>137</v>
      </c>
      <c r="O164" s="17">
        <f t="shared" si="4"/>
        <v>7.010769230769231E-3</v>
      </c>
      <c r="P164" s="8">
        <v>26</v>
      </c>
      <c r="Q164" s="8">
        <v>10</v>
      </c>
      <c r="R164" s="19">
        <f t="shared" si="5"/>
        <v>19500</v>
      </c>
    </row>
    <row r="165" spans="1:18" x14ac:dyDescent="0.2">
      <c r="A165" s="8">
        <v>17</v>
      </c>
      <c r="B165" s="9">
        <v>46028</v>
      </c>
      <c r="C165" s="8" t="s">
        <v>83</v>
      </c>
      <c r="D165" s="8" t="s">
        <v>30</v>
      </c>
      <c r="E165" s="8" t="s">
        <v>31</v>
      </c>
      <c r="F165" s="9">
        <v>46038</v>
      </c>
      <c r="G165" s="8">
        <v>195</v>
      </c>
      <c r="H165" s="8">
        <v>1</v>
      </c>
      <c r="I165" s="8">
        <v>1</v>
      </c>
      <c r="J165" s="15">
        <v>1</v>
      </c>
      <c r="K165" s="15">
        <v>137</v>
      </c>
      <c r="L165" s="15">
        <v>136.36000000000001</v>
      </c>
      <c r="M165" s="8" t="s">
        <v>32</v>
      </c>
      <c r="N165" s="15">
        <v>136</v>
      </c>
      <c r="O165" s="17">
        <f t="shared" si="4"/>
        <v>6.9928205128205138E-3</v>
      </c>
      <c r="P165" s="8">
        <v>26</v>
      </c>
      <c r="Q165" s="8">
        <v>10</v>
      </c>
      <c r="R165" s="19">
        <f t="shared" si="5"/>
        <v>19500</v>
      </c>
    </row>
    <row r="166" spans="1:18" x14ac:dyDescent="0.2">
      <c r="A166" s="8">
        <v>18</v>
      </c>
      <c r="B166" s="9">
        <v>46038</v>
      </c>
      <c r="C166" s="8" t="s">
        <v>26</v>
      </c>
      <c r="D166" s="8" t="s">
        <v>2</v>
      </c>
      <c r="E166" s="8" t="s">
        <v>20</v>
      </c>
      <c r="F166" s="8"/>
      <c r="G166" s="8"/>
      <c r="H166" s="8">
        <v>135</v>
      </c>
      <c r="I166" s="8">
        <v>75</v>
      </c>
      <c r="J166" s="15">
        <v>1</v>
      </c>
      <c r="K166" s="15">
        <v>10180.76</v>
      </c>
      <c r="L166" s="15">
        <v>10179.84</v>
      </c>
      <c r="M166" s="8" t="s">
        <v>21</v>
      </c>
      <c r="N166" s="15"/>
      <c r="O166" s="17" t="str">
        <f t="shared" si="4"/>
        <v/>
      </c>
      <c r="P166" s="8"/>
      <c r="Q166" s="8"/>
      <c r="R166" s="19">
        <f t="shared" si="5"/>
        <v>0</v>
      </c>
    </row>
    <row r="167" spans="1:18" x14ac:dyDescent="0.2">
      <c r="A167" s="8">
        <v>18</v>
      </c>
      <c r="B167" s="9">
        <v>46038</v>
      </c>
      <c r="C167" s="8" t="s">
        <v>26</v>
      </c>
      <c r="D167" s="8" t="s">
        <v>2</v>
      </c>
      <c r="E167" s="8" t="s">
        <v>20</v>
      </c>
      <c r="F167" s="8"/>
      <c r="G167" s="8"/>
      <c r="H167" s="8">
        <v>265</v>
      </c>
      <c r="I167" s="8">
        <v>75</v>
      </c>
      <c r="J167" s="15">
        <v>2</v>
      </c>
      <c r="K167" s="15">
        <v>19987.18</v>
      </c>
      <c r="L167" s="15">
        <v>19985.36</v>
      </c>
      <c r="M167" s="8" t="s">
        <v>21</v>
      </c>
      <c r="N167" s="15"/>
      <c r="O167" s="17" t="str">
        <f t="shared" si="4"/>
        <v/>
      </c>
      <c r="P167" s="8"/>
      <c r="Q167" s="8"/>
      <c r="R167" s="19">
        <f t="shared" si="5"/>
        <v>0</v>
      </c>
    </row>
    <row r="168" spans="1:18" x14ac:dyDescent="0.2">
      <c r="A168" s="8">
        <v>18</v>
      </c>
      <c r="B168" s="9">
        <v>46038</v>
      </c>
      <c r="C168" s="8" t="s">
        <v>26</v>
      </c>
      <c r="D168" s="8" t="s">
        <v>43</v>
      </c>
      <c r="E168" s="8" t="s">
        <v>44</v>
      </c>
      <c r="F168" s="9">
        <v>46038</v>
      </c>
      <c r="G168" s="8">
        <v>75</v>
      </c>
      <c r="H168" s="8">
        <v>4</v>
      </c>
      <c r="I168" s="8">
        <v>2</v>
      </c>
      <c r="J168" s="15">
        <v>1</v>
      </c>
      <c r="K168" s="15">
        <v>-808</v>
      </c>
      <c r="L168" s="15">
        <v>-808.8</v>
      </c>
      <c r="M168" s="8" t="s">
        <v>21</v>
      </c>
      <c r="N168" s="15">
        <v>-808.8</v>
      </c>
      <c r="O168" s="17">
        <f t="shared" si="4"/>
        <v>-2.6959999999999998E-2</v>
      </c>
      <c r="P168" s="8"/>
      <c r="Q168" s="8">
        <v>0</v>
      </c>
      <c r="R168" s="19">
        <f t="shared" si="5"/>
        <v>30000</v>
      </c>
    </row>
    <row r="169" spans="1:18" x14ac:dyDescent="0.2">
      <c r="A169" s="8">
        <v>19</v>
      </c>
      <c r="B169" s="9">
        <v>46041</v>
      </c>
      <c r="C169" s="8" t="s">
        <v>41</v>
      </c>
      <c r="D169" s="8" t="s">
        <v>30</v>
      </c>
      <c r="E169" s="8" t="s">
        <v>31</v>
      </c>
      <c r="F169" s="9">
        <v>46073</v>
      </c>
      <c r="G169" s="8">
        <v>90</v>
      </c>
      <c r="H169" s="8">
        <v>3</v>
      </c>
      <c r="I169" s="8">
        <v>1</v>
      </c>
      <c r="J169" s="15">
        <v>2</v>
      </c>
      <c r="K169" s="15">
        <v>339</v>
      </c>
      <c r="L169" s="15">
        <v>336.89</v>
      </c>
      <c r="M169" s="8" t="s">
        <v>46</v>
      </c>
      <c r="N169" s="15">
        <v>337</v>
      </c>
      <c r="O169" s="17">
        <f t="shared" si="4"/>
        <v>1.2477407407407408E-2</v>
      </c>
      <c r="P169" s="8">
        <v>14</v>
      </c>
      <c r="Q169" s="8">
        <v>32</v>
      </c>
      <c r="R169" s="19">
        <f t="shared" si="5"/>
        <v>27000</v>
      </c>
    </row>
    <row r="170" spans="1:18" x14ac:dyDescent="0.2">
      <c r="A170" s="8">
        <v>19</v>
      </c>
      <c r="B170" s="9">
        <v>46041</v>
      </c>
      <c r="C170" s="8" t="s">
        <v>42</v>
      </c>
      <c r="D170" s="8" t="s">
        <v>30</v>
      </c>
      <c r="E170" s="8" t="s">
        <v>31</v>
      </c>
      <c r="F170" s="9">
        <v>46073</v>
      </c>
      <c r="G170" s="8">
        <v>80</v>
      </c>
      <c r="H170" s="8">
        <v>2</v>
      </c>
      <c r="I170" s="8">
        <v>2</v>
      </c>
      <c r="J170" s="15">
        <v>1</v>
      </c>
      <c r="K170" s="15">
        <v>474</v>
      </c>
      <c r="L170" s="15">
        <v>472.6</v>
      </c>
      <c r="M170" s="8" t="s">
        <v>21</v>
      </c>
      <c r="N170" s="15">
        <v>473</v>
      </c>
      <c r="O170" s="17">
        <f t="shared" si="4"/>
        <v>2.9537500000000001E-2</v>
      </c>
      <c r="P170" s="8">
        <v>34</v>
      </c>
      <c r="Q170" s="8">
        <v>32</v>
      </c>
      <c r="R170" s="19">
        <f t="shared" si="5"/>
        <v>16000</v>
      </c>
    </row>
    <row r="171" spans="1:18" x14ac:dyDescent="0.2">
      <c r="A171" s="8">
        <v>19</v>
      </c>
      <c r="B171" s="9">
        <v>46041</v>
      </c>
      <c r="C171" s="8" t="s">
        <v>42</v>
      </c>
      <c r="D171" s="8" t="s">
        <v>30</v>
      </c>
      <c r="E171" s="8" t="s">
        <v>31</v>
      </c>
      <c r="F171" s="9">
        <v>46073</v>
      </c>
      <c r="G171" s="8">
        <v>80</v>
      </c>
      <c r="H171" s="8">
        <v>2</v>
      </c>
      <c r="I171" s="8">
        <v>2</v>
      </c>
      <c r="J171" s="15">
        <v>-0.6</v>
      </c>
      <c r="K171" s="15">
        <v>474</v>
      </c>
      <c r="L171" s="15">
        <v>474.6</v>
      </c>
      <c r="M171" s="8" t="s">
        <v>21</v>
      </c>
      <c r="N171" s="15">
        <v>475</v>
      </c>
      <c r="O171" s="17">
        <f t="shared" si="4"/>
        <v>2.9662500000000001E-2</v>
      </c>
      <c r="P171" s="8">
        <v>34</v>
      </c>
      <c r="Q171" s="8">
        <v>32</v>
      </c>
      <c r="R171" s="19">
        <f t="shared" si="5"/>
        <v>16000</v>
      </c>
    </row>
    <row r="172" spans="1:18" x14ac:dyDescent="0.2">
      <c r="A172" s="8">
        <v>19</v>
      </c>
      <c r="B172" s="9">
        <v>46041</v>
      </c>
      <c r="C172" s="8" t="s">
        <v>35</v>
      </c>
      <c r="D172" s="8" t="s">
        <v>30</v>
      </c>
      <c r="E172" s="8" t="s">
        <v>31</v>
      </c>
      <c r="F172" s="9">
        <v>46073</v>
      </c>
      <c r="G172" s="8">
        <v>250</v>
      </c>
      <c r="H172" s="8">
        <v>1</v>
      </c>
      <c r="I172" s="8">
        <v>11</v>
      </c>
      <c r="J172" s="15">
        <v>1</v>
      </c>
      <c r="K172" s="15">
        <v>1096</v>
      </c>
      <c r="L172" s="15">
        <v>1094.95</v>
      </c>
      <c r="M172" s="8" t="s">
        <v>21</v>
      </c>
      <c r="N172" s="15">
        <v>1095</v>
      </c>
      <c r="O172" s="17">
        <f t="shared" si="4"/>
        <v>4.3798000000000004E-2</v>
      </c>
      <c r="P172" s="8">
        <v>50</v>
      </c>
      <c r="Q172" s="8">
        <v>32</v>
      </c>
      <c r="R172" s="19">
        <f t="shared" si="5"/>
        <v>25000</v>
      </c>
    </row>
    <row r="173" spans="1:18" x14ac:dyDescent="0.2">
      <c r="A173" s="8">
        <v>19</v>
      </c>
      <c r="B173" s="9">
        <v>46041</v>
      </c>
      <c r="C173" s="8" t="s">
        <v>35</v>
      </c>
      <c r="D173" s="8" t="s">
        <v>30</v>
      </c>
      <c r="E173" s="8" t="s">
        <v>31</v>
      </c>
      <c r="F173" s="9">
        <v>46073</v>
      </c>
      <c r="G173" s="8">
        <v>250</v>
      </c>
      <c r="H173" s="8">
        <v>1</v>
      </c>
      <c r="I173" s="8">
        <v>11</v>
      </c>
      <c r="J173" s="15">
        <v>0</v>
      </c>
      <c r="K173" s="15">
        <v>1096</v>
      </c>
      <c r="L173" s="15">
        <v>1095.6500000000001</v>
      </c>
      <c r="M173" s="8" t="s">
        <v>21</v>
      </c>
      <c r="N173" s="15">
        <v>1096</v>
      </c>
      <c r="O173" s="17">
        <f t="shared" si="4"/>
        <v>4.3826000000000004E-2</v>
      </c>
      <c r="P173" s="8">
        <v>50</v>
      </c>
      <c r="Q173" s="8">
        <v>32</v>
      </c>
      <c r="R173" s="19">
        <f t="shared" si="5"/>
        <v>25000</v>
      </c>
    </row>
    <row r="174" spans="1:18" x14ac:dyDescent="0.2">
      <c r="A174" s="8">
        <v>20</v>
      </c>
      <c r="B174" s="9">
        <v>46042</v>
      </c>
      <c r="C174" s="8" t="s">
        <v>83</v>
      </c>
      <c r="D174" s="8" t="s">
        <v>30</v>
      </c>
      <c r="E174" s="8" t="s">
        <v>31</v>
      </c>
      <c r="F174" s="9">
        <v>46073</v>
      </c>
      <c r="G174" s="8">
        <v>190</v>
      </c>
      <c r="H174" s="8">
        <v>2</v>
      </c>
      <c r="I174" s="8">
        <v>2</v>
      </c>
      <c r="J174" s="15">
        <v>1</v>
      </c>
      <c r="K174" s="15">
        <v>456</v>
      </c>
      <c r="L174" s="15">
        <v>455.3</v>
      </c>
      <c r="M174" s="8" t="s">
        <v>32</v>
      </c>
      <c r="N174" s="15">
        <v>455</v>
      </c>
      <c r="O174" s="17">
        <f t="shared" si="4"/>
        <v>1.1981578947368421E-2</v>
      </c>
      <c r="P174" s="8">
        <v>14</v>
      </c>
      <c r="Q174" s="8">
        <v>31</v>
      </c>
      <c r="R174" s="19">
        <f t="shared" si="5"/>
        <v>38000</v>
      </c>
    </row>
    <row r="175" spans="1:18" x14ac:dyDescent="0.2">
      <c r="A175" s="8">
        <v>20</v>
      </c>
      <c r="B175" s="9">
        <v>46042</v>
      </c>
      <c r="C175" s="8" t="s">
        <v>82</v>
      </c>
      <c r="D175" s="8" t="s">
        <v>30</v>
      </c>
      <c r="E175" s="8" t="s">
        <v>31</v>
      </c>
      <c r="F175" s="9">
        <v>46073</v>
      </c>
      <c r="G175" s="8">
        <v>155</v>
      </c>
      <c r="H175" s="8">
        <v>4</v>
      </c>
      <c r="I175" s="8">
        <v>5</v>
      </c>
      <c r="J175" s="15">
        <v>3</v>
      </c>
      <c r="K175" s="15">
        <v>2156</v>
      </c>
      <c r="L175" s="15">
        <v>2153.1799999999998</v>
      </c>
      <c r="M175" s="8" t="s">
        <v>21</v>
      </c>
      <c r="N175" s="15">
        <v>2153</v>
      </c>
      <c r="O175" s="17">
        <f t="shared" si="4"/>
        <v>3.4728709677419353E-2</v>
      </c>
      <c r="P175" s="8">
        <v>41</v>
      </c>
      <c r="Q175" s="8">
        <v>31</v>
      </c>
      <c r="R175" s="19">
        <f t="shared" si="5"/>
        <v>62000</v>
      </c>
    </row>
    <row r="176" spans="1:18" x14ac:dyDescent="0.2">
      <c r="A176" s="8">
        <v>20</v>
      </c>
      <c r="B176" s="9">
        <v>46042</v>
      </c>
      <c r="C176" s="8" t="s">
        <v>37</v>
      </c>
      <c r="D176" s="8" t="s">
        <v>30</v>
      </c>
      <c r="E176" s="8" t="s">
        <v>31</v>
      </c>
      <c r="F176" s="9">
        <v>46073</v>
      </c>
      <c r="G176" s="8">
        <v>45</v>
      </c>
      <c r="H176" s="8">
        <v>3</v>
      </c>
      <c r="I176" s="8">
        <v>1</v>
      </c>
      <c r="J176" s="15">
        <v>2</v>
      </c>
      <c r="K176" s="15">
        <v>276</v>
      </c>
      <c r="L176" s="15">
        <v>273.89</v>
      </c>
      <c r="M176" s="8" t="s">
        <v>32</v>
      </c>
      <c r="N176" s="15">
        <v>274</v>
      </c>
      <c r="O176" s="17">
        <f t="shared" si="4"/>
        <v>2.0288148148148145E-2</v>
      </c>
      <c r="P176" s="8">
        <v>24</v>
      </c>
      <c r="Q176" s="8">
        <v>31</v>
      </c>
      <c r="R176" s="19">
        <f t="shared" si="5"/>
        <v>13500</v>
      </c>
    </row>
    <row r="177" spans="1:18" x14ac:dyDescent="0.2">
      <c r="A177" s="8">
        <v>20</v>
      </c>
      <c r="B177" s="9">
        <v>46042</v>
      </c>
      <c r="C177" s="8" t="s">
        <v>37</v>
      </c>
      <c r="D177" s="8" t="s">
        <v>30</v>
      </c>
      <c r="E177" s="8" t="s">
        <v>31</v>
      </c>
      <c r="F177" s="9">
        <v>46073</v>
      </c>
      <c r="G177" s="8">
        <v>45</v>
      </c>
      <c r="H177" s="8">
        <v>3</v>
      </c>
      <c r="I177" s="8">
        <v>1</v>
      </c>
      <c r="J177" s="15">
        <v>2</v>
      </c>
      <c r="K177" s="15">
        <v>276</v>
      </c>
      <c r="L177" s="15">
        <v>273.89</v>
      </c>
      <c r="M177" s="8" t="s">
        <v>32</v>
      </c>
      <c r="N177" s="15">
        <v>274</v>
      </c>
      <c r="O177" s="17">
        <f t="shared" si="4"/>
        <v>2.0288148148148145E-2</v>
      </c>
      <c r="P177" s="8">
        <v>24</v>
      </c>
      <c r="Q177" s="8">
        <v>31</v>
      </c>
      <c r="R177" s="19">
        <f t="shared" si="5"/>
        <v>13500</v>
      </c>
    </row>
    <row r="178" spans="1:18" x14ac:dyDescent="0.2">
      <c r="A178" s="8">
        <v>20</v>
      </c>
      <c r="B178" s="9">
        <v>46042</v>
      </c>
      <c r="C178" s="8" t="s">
        <v>52</v>
      </c>
      <c r="D178" s="8" t="s">
        <v>30</v>
      </c>
      <c r="E178" s="8" t="s">
        <v>31</v>
      </c>
      <c r="F178" s="9">
        <v>46073</v>
      </c>
      <c r="G178" s="8">
        <v>120</v>
      </c>
      <c r="H178" s="8">
        <v>2</v>
      </c>
      <c r="I178" s="8">
        <v>4</v>
      </c>
      <c r="J178" s="15">
        <v>1</v>
      </c>
      <c r="K178" s="15">
        <v>724</v>
      </c>
      <c r="L178" s="15">
        <v>722.6</v>
      </c>
      <c r="M178" s="8" t="s">
        <v>32</v>
      </c>
      <c r="N178" s="15">
        <v>723</v>
      </c>
      <c r="O178" s="17">
        <f t="shared" si="4"/>
        <v>3.0108333333333334E-2</v>
      </c>
      <c r="P178" s="8">
        <v>36</v>
      </c>
      <c r="Q178" s="8">
        <v>31</v>
      </c>
      <c r="R178" s="19">
        <f t="shared" si="5"/>
        <v>24000</v>
      </c>
    </row>
    <row r="179" spans="1:18" x14ac:dyDescent="0.2">
      <c r="A179" s="8">
        <v>20</v>
      </c>
      <c r="B179" s="9">
        <v>46042</v>
      </c>
      <c r="C179" s="8" t="s">
        <v>52</v>
      </c>
      <c r="D179" s="8" t="s">
        <v>30</v>
      </c>
      <c r="E179" s="8" t="s">
        <v>31</v>
      </c>
      <c r="F179" s="9">
        <v>46073</v>
      </c>
      <c r="G179" s="8">
        <v>120</v>
      </c>
      <c r="H179" s="8">
        <v>2</v>
      </c>
      <c r="I179" s="8">
        <v>4</v>
      </c>
      <c r="J179" s="15">
        <v>-0.6</v>
      </c>
      <c r="K179" s="15">
        <v>724</v>
      </c>
      <c r="L179" s="15">
        <v>724.6</v>
      </c>
      <c r="M179" s="8" t="s">
        <v>32</v>
      </c>
      <c r="N179" s="15">
        <v>725</v>
      </c>
      <c r="O179" s="17">
        <f t="shared" si="4"/>
        <v>3.0191666666666669E-2</v>
      </c>
      <c r="P179" s="8">
        <v>36</v>
      </c>
      <c r="Q179" s="8">
        <v>31</v>
      </c>
      <c r="R179" s="19">
        <f t="shared" si="5"/>
        <v>24000</v>
      </c>
    </row>
    <row r="180" spans="1:18" x14ac:dyDescent="0.2">
      <c r="A180" s="8">
        <v>20</v>
      </c>
      <c r="B180" s="9">
        <v>46042</v>
      </c>
      <c r="C180" s="8" t="s">
        <v>84</v>
      </c>
      <c r="D180" s="8" t="s">
        <v>30</v>
      </c>
      <c r="E180" s="8" t="s">
        <v>31</v>
      </c>
      <c r="F180" s="9">
        <v>46045</v>
      </c>
      <c r="G180" s="8">
        <v>218</v>
      </c>
      <c r="H180" s="8">
        <v>3</v>
      </c>
      <c r="I180" s="8">
        <v>0</v>
      </c>
      <c r="J180" s="15">
        <v>-1.34</v>
      </c>
      <c r="K180" s="15">
        <v>15</v>
      </c>
      <c r="L180" s="15">
        <v>16.34</v>
      </c>
      <c r="M180" s="8" t="s">
        <v>32</v>
      </c>
      <c r="N180" s="15">
        <v>16</v>
      </c>
      <c r="O180" s="17">
        <f t="shared" si="4"/>
        <v>2.4984709480122322E-4</v>
      </c>
      <c r="P180" s="8">
        <v>3</v>
      </c>
      <c r="Q180" s="8">
        <v>3</v>
      </c>
      <c r="R180" s="19">
        <f t="shared" si="5"/>
        <v>65400</v>
      </c>
    </row>
    <row r="181" spans="1:18" x14ac:dyDescent="0.2">
      <c r="A181" s="8">
        <v>20</v>
      </c>
      <c r="B181" s="9">
        <v>46042</v>
      </c>
      <c r="C181" s="8" t="s">
        <v>59</v>
      </c>
      <c r="D181" s="8" t="s">
        <v>30</v>
      </c>
      <c r="E181" s="8" t="s">
        <v>31</v>
      </c>
      <c r="F181" s="9">
        <v>46073</v>
      </c>
      <c r="G181" s="8">
        <v>18</v>
      </c>
      <c r="H181" s="8">
        <v>4</v>
      </c>
      <c r="I181" s="8">
        <v>1</v>
      </c>
      <c r="J181" s="15">
        <v>-1.39</v>
      </c>
      <c r="K181" s="15">
        <v>356</v>
      </c>
      <c r="L181" s="15">
        <v>357.39</v>
      </c>
      <c r="M181" s="8" t="s">
        <v>46</v>
      </c>
      <c r="N181" s="15">
        <v>357</v>
      </c>
      <c r="O181" s="17">
        <f t="shared" si="4"/>
        <v>4.9637500000000001E-2</v>
      </c>
      <c r="P181" s="8">
        <v>60</v>
      </c>
      <c r="Q181" s="8">
        <v>31</v>
      </c>
      <c r="R181" s="19">
        <f t="shared" si="5"/>
        <v>7200</v>
      </c>
    </row>
    <row r="182" spans="1:18" x14ac:dyDescent="0.2">
      <c r="A182" s="8">
        <v>20</v>
      </c>
      <c r="B182" s="9">
        <v>46042</v>
      </c>
      <c r="C182" s="8" t="s">
        <v>87</v>
      </c>
      <c r="D182" s="8" t="s">
        <v>30</v>
      </c>
      <c r="E182" s="8" t="s">
        <v>31</v>
      </c>
      <c r="F182" s="9">
        <v>46073</v>
      </c>
      <c r="G182" s="8">
        <v>47</v>
      </c>
      <c r="H182" s="8">
        <v>4</v>
      </c>
      <c r="I182" s="8">
        <v>1</v>
      </c>
      <c r="J182" s="15">
        <v>3</v>
      </c>
      <c r="K182" s="15">
        <v>280</v>
      </c>
      <c r="L182" s="15">
        <v>277.18</v>
      </c>
      <c r="M182" s="8" t="s">
        <v>32</v>
      </c>
      <c r="N182" s="15">
        <v>277</v>
      </c>
      <c r="O182" s="17">
        <f t="shared" si="4"/>
        <v>1.4743617021276596E-2</v>
      </c>
      <c r="P182" s="8">
        <v>18</v>
      </c>
      <c r="Q182" s="8">
        <v>31</v>
      </c>
      <c r="R182" s="19">
        <f t="shared" si="5"/>
        <v>18800</v>
      </c>
    </row>
    <row r="183" spans="1:18" x14ac:dyDescent="0.2">
      <c r="A183" s="8">
        <v>20</v>
      </c>
      <c r="B183" s="9">
        <v>46042</v>
      </c>
      <c r="C183" s="8" t="s">
        <v>71</v>
      </c>
      <c r="D183" s="8" t="s">
        <v>30</v>
      </c>
      <c r="E183" s="8" t="s">
        <v>31</v>
      </c>
      <c r="F183" s="9">
        <v>46073</v>
      </c>
      <c r="G183" s="8">
        <v>105</v>
      </c>
      <c r="H183" s="8">
        <v>2</v>
      </c>
      <c r="I183" s="8">
        <v>1</v>
      </c>
      <c r="J183" s="15">
        <v>1</v>
      </c>
      <c r="K183" s="15">
        <v>264</v>
      </c>
      <c r="L183" s="15">
        <v>262.58999999999997</v>
      </c>
      <c r="M183" s="8" t="s">
        <v>21</v>
      </c>
      <c r="N183" s="15">
        <v>263</v>
      </c>
      <c r="O183" s="17">
        <f t="shared" si="4"/>
        <v>1.2504285714285713E-2</v>
      </c>
      <c r="P183" s="8">
        <v>15</v>
      </c>
      <c r="Q183" s="8">
        <v>31</v>
      </c>
      <c r="R183" s="19">
        <f t="shared" si="5"/>
        <v>21000</v>
      </c>
    </row>
    <row r="184" spans="1:18" x14ac:dyDescent="0.2">
      <c r="A184" s="8">
        <v>20</v>
      </c>
      <c r="B184" s="9">
        <v>46042</v>
      </c>
      <c r="C184" s="8" t="s">
        <v>71</v>
      </c>
      <c r="D184" s="8" t="s">
        <v>30</v>
      </c>
      <c r="E184" s="8" t="s">
        <v>31</v>
      </c>
      <c r="F184" s="9">
        <v>46073</v>
      </c>
      <c r="G184" s="8">
        <v>105</v>
      </c>
      <c r="H184" s="8">
        <v>2</v>
      </c>
      <c r="I184" s="8">
        <v>1</v>
      </c>
      <c r="J184" s="15">
        <v>1</v>
      </c>
      <c r="K184" s="15">
        <v>264</v>
      </c>
      <c r="L184" s="15">
        <v>262.58999999999997</v>
      </c>
      <c r="M184" s="8" t="s">
        <v>21</v>
      </c>
      <c r="N184" s="15">
        <v>263</v>
      </c>
      <c r="O184" s="17">
        <f t="shared" si="4"/>
        <v>1.2504285714285713E-2</v>
      </c>
      <c r="P184" s="8">
        <v>15</v>
      </c>
      <c r="Q184" s="8">
        <v>31</v>
      </c>
      <c r="R184" s="19">
        <f t="shared" si="5"/>
        <v>21000</v>
      </c>
    </row>
    <row r="185" spans="1:18" x14ac:dyDescent="0.2">
      <c r="A185" s="8">
        <v>20</v>
      </c>
      <c r="B185" s="9">
        <v>46042</v>
      </c>
      <c r="C185" s="8" t="s">
        <v>40</v>
      </c>
      <c r="D185" s="8" t="s">
        <v>30</v>
      </c>
      <c r="E185" s="8" t="s">
        <v>31</v>
      </c>
      <c r="F185" s="9">
        <v>46073</v>
      </c>
      <c r="G185" s="8">
        <v>14</v>
      </c>
      <c r="H185" s="8">
        <v>3</v>
      </c>
      <c r="I185" s="8">
        <v>0</v>
      </c>
      <c r="J185" s="15">
        <v>2</v>
      </c>
      <c r="K185" s="15">
        <v>90</v>
      </c>
      <c r="L185" s="15">
        <v>87.89</v>
      </c>
      <c r="M185" s="8" t="s">
        <v>32</v>
      </c>
      <c r="N185" s="15">
        <v>88</v>
      </c>
      <c r="O185" s="17">
        <f t="shared" si="4"/>
        <v>2.0926190476190477E-2</v>
      </c>
      <c r="P185" s="8">
        <v>25</v>
      </c>
      <c r="Q185" s="8">
        <v>31</v>
      </c>
      <c r="R185" s="19">
        <f t="shared" si="5"/>
        <v>4200</v>
      </c>
    </row>
    <row r="186" spans="1:18" x14ac:dyDescent="0.2">
      <c r="A186" s="8">
        <v>20</v>
      </c>
      <c r="B186" s="9">
        <v>46042</v>
      </c>
      <c r="C186" s="8" t="s">
        <v>40</v>
      </c>
      <c r="D186" s="8" t="s">
        <v>30</v>
      </c>
      <c r="E186" s="8" t="s">
        <v>31</v>
      </c>
      <c r="F186" s="9">
        <v>46073</v>
      </c>
      <c r="G186" s="8">
        <v>14</v>
      </c>
      <c r="H186" s="8">
        <v>3</v>
      </c>
      <c r="I186" s="8">
        <v>0</v>
      </c>
      <c r="J186" s="15">
        <v>-0.89</v>
      </c>
      <c r="K186" s="15">
        <v>90</v>
      </c>
      <c r="L186" s="15">
        <v>90.89</v>
      </c>
      <c r="M186" s="8" t="s">
        <v>32</v>
      </c>
      <c r="N186" s="15">
        <v>91</v>
      </c>
      <c r="O186" s="17">
        <f t="shared" si="4"/>
        <v>2.1640476190476189E-2</v>
      </c>
      <c r="P186" s="8">
        <v>25</v>
      </c>
      <c r="Q186" s="8">
        <v>31</v>
      </c>
      <c r="R186" s="19">
        <f t="shared" si="5"/>
        <v>4200</v>
      </c>
    </row>
    <row r="187" spans="1:18" x14ac:dyDescent="0.2">
      <c r="A187" s="8">
        <v>20</v>
      </c>
      <c r="B187" s="9">
        <v>46042</v>
      </c>
      <c r="C187" s="8" t="s">
        <v>39</v>
      </c>
      <c r="D187" s="8" t="s">
        <v>30</v>
      </c>
      <c r="E187" s="8" t="s">
        <v>31</v>
      </c>
      <c r="F187" s="9">
        <v>46073</v>
      </c>
      <c r="G187" s="8">
        <v>290</v>
      </c>
      <c r="H187" s="8">
        <v>1</v>
      </c>
      <c r="I187" s="8">
        <v>3</v>
      </c>
      <c r="J187" s="15">
        <v>1</v>
      </c>
      <c r="K187" s="15">
        <v>303</v>
      </c>
      <c r="L187" s="15">
        <v>301.95</v>
      </c>
      <c r="M187" s="8" t="s">
        <v>21</v>
      </c>
      <c r="N187" s="15">
        <v>302</v>
      </c>
      <c r="O187" s="17">
        <f t="shared" si="4"/>
        <v>1.0412068965517241E-2</v>
      </c>
      <c r="P187" s="8">
        <v>12</v>
      </c>
      <c r="Q187" s="8">
        <v>31</v>
      </c>
      <c r="R187" s="19">
        <f t="shared" si="5"/>
        <v>29000</v>
      </c>
    </row>
    <row r="188" spans="1:18" x14ac:dyDescent="0.2">
      <c r="A188" s="8">
        <v>20</v>
      </c>
      <c r="B188" s="9">
        <v>46042</v>
      </c>
      <c r="C188" s="8" t="s">
        <v>39</v>
      </c>
      <c r="D188" s="8" t="s">
        <v>30</v>
      </c>
      <c r="E188" s="8" t="s">
        <v>31</v>
      </c>
      <c r="F188" s="9">
        <v>46073</v>
      </c>
      <c r="G188" s="8">
        <v>290</v>
      </c>
      <c r="H188" s="8">
        <v>1</v>
      </c>
      <c r="I188" s="8">
        <v>3</v>
      </c>
      <c r="J188" s="15">
        <v>0</v>
      </c>
      <c r="K188" s="15">
        <v>303</v>
      </c>
      <c r="L188" s="15">
        <v>302.64999999999998</v>
      </c>
      <c r="M188" s="8" t="s">
        <v>21</v>
      </c>
      <c r="N188" s="15">
        <v>303</v>
      </c>
      <c r="O188" s="17">
        <f t="shared" si="4"/>
        <v>1.0436206896551723E-2</v>
      </c>
      <c r="P188" s="8">
        <v>12</v>
      </c>
      <c r="Q188" s="8">
        <v>31</v>
      </c>
      <c r="R188" s="19">
        <f t="shared" si="5"/>
        <v>29000</v>
      </c>
    </row>
    <row r="189" spans="1:18" x14ac:dyDescent="0.2">
      <c r="A189" s="8">
        <v>21</v>
      </c>
      <c r="B189" s="9">
        <v>46048</v>
      </c>
      <c r="C189" s="8" t="s">
        <v>84</v>
      </c>
      <c r="D189" s="8" t="s">
        <v>30</v>
      </c>
      <c r="E189" s="8" t="s">
        <v>31</v>
      </c>
      <c r="F189" s="9">
        <v>46073</v>
      </c>
      <c r="G189" s="8">
        <v>190</v>
      </c>
      <c r="H189" s="8">
        <v>3</v>
      </c>
      <c r="I189" s="8">
        <v>3</v>
      </c>
      <c r="J189" s="15">
        <v>2</v>
      </c>
      <c r="K189" s="15">
        <v>894</v>
      </c>
      <c r="L189" s="15">
        <v>891.89</v>
      </c>
      <c r="M189" s="8" t="s">
        <v>32</v>
      </c>
      <c r="N189" s="15">
        <v>892</v>
      </c>
      <c r="O189" s="17">
        <f t="shared" si="4"/>
        <v>1.5647192982456141E-2</v>
      </c>
      <c r="P189" s="8">
        <v>23</v>
      </c>
      <c r="Q189" s="8">
        <v>25</v>
      </c>
      <c r="R189" s="19">
        <f t="shared" si="5"/>
        <v>57000</v>
      </c>
    </row>
    <row r="190" spans="1:18" x14ac:dyDescent="0.2">
      <c r="A190" s="8">
        <v>22</v>
      </c>
      <c r="B190" s="9">
        <v>46049</v>
      </c>
      <c r="C190" s="8" t="s">
        <v>88</v>
      </c>
      <c r="D190" s="8" t="s">
        <v>30</v>
      </c>
      <c r="E190" s="8" t="s">
        <v>31</v>
      </c>
      <c r="F190" s="9">
        <v>46073</v>
      </c>
      <c r="G190" s="8">
        <v>47</v>
      </c>
      <c r="H190" s="8">
        <v>3</v>
      </c>
      <c r="I190" s="8">
        <v>2</v>
      </c>
      <c r="J190" s="15">
        <v>2</v>
      </c>
      <c r="K190" s="15">
        <v>513</v>
      </c>
      <c r="L190" s="15">
        <v>510.89</v>
      </c>
      <c r="M190" s="8" t="s">
        <v>32</v>
      </c>
      <c r="N190" s="15">
        <v>511</v>
      </c>
      <c r="O190" s="17">
        <f t="shared" si="4"/>
        <v>3.6233333333333333E-2</v>
      </c>
      <c r="P190" s="8">
        <v>55</v>
      </c>
      <c r="Q190" s="8">
        <v>24</v>
      </c>
      <c r="R190" s="19">
        <f t="shared" si="5"/>
        <v>14100</v>
      </c>
    </row>
    <row r="191" spans="1:18" x14ac:dyDescent="0.2">
      <c r="A191" s="8">
        <v>23</v>
      </c>
      <c r="B191" s="9">
        <v>46055</v>
      </c>
      <c r="C191" s="8" t="s">
        <v>42</v>
      </c>
      <c r="D191" s="8" t="s">
        <v>30</v>
      </c>
      <c r="E191" s="8" t="s">
        <v>31</v>
      </c>
      <c r="F191" s="9">
        <v>46073</v>
      </c>
      <c r="G191" s="8">
        <v>85</v>
      </c>
      <c r="H191" s="8">
        <v>2</v>
      </c>
      <c r="I191" s="8">
        <v>2</v>
      </c>
      <c r="J191" s="15">
        <v>1</v>
      </c>
      <c r="K191" s="15">
        <v>368</v>
      </c>
      <c r="L191" s="15">
        <v>366.6</v>
      </c>
      <c r="M191" s="8" t="s">
        <v>32</v>
      </c>
      <c r="N191" s="15">
        <v>367</v>
      </c>
      <c r="O191" s="17">
        <f t="shared" si="4"/>
        <v>2.1564705882352944E-2</v>
      </c>
      <c r="P191" s="8">
        <v>44</v>
      </c>
      <c r="Q191" s="8">
        <v>18</v>
      </c>
      <c r="R191" s="19">
        <f t="shared" si="5"/>
        <v>17000</v>
      </c>
    </row>
    <row r="192" spans="1:18" x14ac:dyDescent="0.2">
      <c r="A192" s="8">
        <v>23</v>
      </c>
      <c r="B192" s="9">
        <v>46055</v>
      </c>
      <c r="C192" s="8" t="s">
        <v>42</v>
      </c>
      <c r="D192" s="8" t="s">
        <v>30</v>
      </c>
      <c r="E192" s="8" t="s">
        <v>31</v>
      </c>
      <c r="F192" s="9">
        <v>46073</v>
      </c>
      <c r="G192" s="8">
        <v>85</v>
      </c>
      <c r="H192" s="8">
        <v>2</v>
      </c>
      <c r="I192" s="8">
        <v>2</v>
      </c>
      <c r="J192" s="15">
        <v>1</v>
      </c>
      <c r="K192" s="15">
        <v>368</v>
      </c>
      <c r="L192" s="15">
        <v>366.6</v>
      </c>
      <c r="M192" s="8" t="s">
        <v>32</v>
      </c>
      <c r="N192" s="15">
        <v>367</v>
      </c>
      <c r="O192" s="17">
        <f t="shared" si="4"/>
        <v>2.1564705882352944E-2</v>
      </c>
      <c r="P192" s="8">
        <v>44</v>
      </c>
      <c r="Q192" s="8">
        <v>18</v>
      </c>
      <c r="R192" s="19">
        <f t="shared" si="5"/>
        <v>17000</v>
      </c>
    </row>
    <row r="193" spans="1:18" x14ac:dyDescent="0.2">
      <c r="A193" s="8">
        <v>24</v>
      </c>
      <c r="B193" s="9">
        <v>46057</v>
      </c>
      <c r="C193" s="8" t="s">
        <v>35</v>
      </c>
      <c r="D193" s="8" t="s">
        <v>30</v>
      </c>
      <c r="E193" s="8" t="s">
        <v>31</v>
      </c>
      <c r="F193" s="9">
        <v>46073</v>
      </c>
      <c r="G193" s="8">
        <v>380</v>
      </c>
      <c r="H193" s="8">
        <v>1</v>
      </c>
      <c r="I193" s="8">
        <v>8</v>
      </c>
      <c r="J193" s="15">
        <v>1</v>
      </c>
      <c r="K193" s="15">
        <v>835</v>
      </c>
      <c r="L193" s="15">
        <v>833.95</v>
      </c>
      <c r="M193" s="8" t="s">
        <v>21</v>
      </c>
      <c r="N193" s="15">
        <v>834</v>
      </c>
      <c r="O193" s="17">
        <f t="shared" si="4"/>
        <v>2.1946052631578949E-2</v>
      </c>
      <c r="P193" s="8">
        <v>50</v>
      </c>
      <c r="Q193" s="8">
        <v>16</v>
      </c>
      <c r="R193" s="19">
        <f t="shared" si="5"/>
        <v>38000</v>
      </c>
    </row>
    <row r="194" spans="1:18" x14ac:dyDescent="0.2">
      <c r="A194" s="8">
        <v>24</v>
      </c>
      <c r="B194" s="9">
        <v>46057</v>
      </c>
      <c r="C194" s="8" t="s">
        <v>35</v>
      </c>
      <c r="D194" s="8" t="s">
        <v>30</v>
      </c>
      <c r="E194" s="8" t="s">
        <v>44</v>
      </c>
      <c r="F194" s="9">
        <v>46073</v>
      </c>
      <c r="G194" s="8">
        <v>250</v>
      </c>
      <c r="H194" s="8">
        <v>1</v>
      </c>
      <c r="I194" s="8">
        <v>0</v>
      </c>
      <c r="J194" s="15">
        <v>1</v>
      </c>
      <c r="K194" s="15">
        <v>-14</v>
      </c>
      <c r="L194" s="15">
        <v>-15.05</v>
      </c>
      <c r="M194" s="8" t="s">
        <v>21</v>
      </c>
      <c r="N194" s="15">
        <v>-15.05</v>
      </c>
      <c r="O194" s="17">
        <f t="shared" ref="O194:O257" si="6">IFERROR(L194/(G194*100*H194),"")</f>
        <v>-6.02E-4</v>
      </c>
      <c r="P194" s="8"/>
      <c r="Q194" s="8">
        <v>16</v>
      </c>
      <c r="R194" s="19">
        <f t="shared" ref="R194:R257" si="7">H194*G194*100</f>
        <v>25000</v>
      </c>
    </row>
    <row r="195" spans="1:18" x14ac:dyDescent="0.2">
      <c r="A195" s="8">
        <v>24</v>
      </c>
      <c r="B195" s="9">
        <v>46057</v>
      </c>
      <c r="C195" s="8" t="s">
        <v>35</v>
      </c>
      <c r="D195" s="8" t="s">
        <v>30</v>
      </c>
      <c r="E195" s="8" t="s">
        <v>44</v>
      </c>
      <c r="F195" s="9">
        <v>46073</v>
      </c>
      <c r="G195" s="8">
        <v>250</v>
      </c>
      <c r="H195" s="8">
        <v>1</v>
      </c>
      <c r="I195" s="8">
        <v>0</v>
      </c>
      <c r="J195" s="15">
        <v>0</v>
      </c>
      <c r="K195" s="15">
        <v>-14</v>
      </c>
      <c r="L195" s="15">
        <v>-14.35</v>
      </c>
      <c r="M195" s="8" t="s">
        <v>21</v>
      </c>
      <c r="N195" s="15">
        <v>-14.35</v>
      </c>
      <c r="O195" s="17">
        <f t="shared" si="6"/>
        <v>-5.7399999999999997E-4</v>
      </c>
      <c r="P195" s="8"/>
      <c r="Q195" s="8">
        <v>16</v>
      </c>
      <c r="R195" s="19">
        <f t="shared" si="7"/>
        <v>25000</v>
      </c>
    </row>
    <row r="196" spans="1:18" x14ac:dyDescent="0.2">
      <c r="A196" s="8">
        <v>25</v>
      </c>
      <c r="B196" s="9">
        <v>46063</v>
      </c>
      <c r="C196" s="8" t="s">
        <v>60</v>
      </c>
      <c r="D196" s="8" t="s">
        <v>30</v>
      </c>
      <c r="E196" s="8" t="s">
        <v>31</v>
      </c>
      <c r="F196" s="9">
        <v>46073</v>
      </c>
      <c r="G196" s="8">
        <v>90</v>
      </c>
      <c r="H196" s="8">
        <v>2</v>
      </c>
      <c r="I196" s="8">
        <v>2</v>
      </c>
      <c r="J196" s="15">
        <v>1</v>
      </c>
      <c r="K196" s="15">
        <v>388</v>
      </c>
      <c r="L196" s="15">
        <v>386.6</v>
      </c>
      <c r="M196" s="8" t="s">
        <v>46</v>
      </c>
      <c r="N196" s="15">
        <v>387</v>
      </c>
      <c r="O196" s="17">
        <f t="shared" si="6"/>
        <v>2.147777777777778E-2</v>
      </c>
      <c r="P196" s="8">
        <v>79</v>
      </c>
      <c r="Q196" s="8">
        <v>10</v>
      </c>
      <c r="R196" s="19">
        <f t="shared" si="7"/>
        <v>18000</v>
      </c>
    </row>
    <row r="197" spans="1:18" x14ac:dyDescent="0.2">
      <c r="A197" s="5"/>
      <c r="B197" s="6">
        <v>46065</v>
      </c>
      <c r="C197" s="7" t="s">
        <v>59</v>
      </c>
      <c r="D197" s="7" t="s">
        <v>2</v>
      </c>
      <c r="E197" s="7" t="s">
        <v>24</v>
      </c>
      <c r="F197" s="7"/>
      <c r="G197" s="7"/>
      <c r="H197" s="7">
        <v>100</v>
      </c>
      <c r="I197" s="7">
        <v>18</v>
      </c>
      <c r="J197" s="14">
        <v>0</v>
      </c>
      <c r="K197" s="14">
        <v>-1750</v>
      </c>
      <c r="L197" s="14">
        <v>-1750</v>
      </c>
      <c r="M197" s="7" t="s">
        <v>25</v>
      </c>
      <c r="N197" s="14"/>
      <c r="O197" s="17" t="str">
        <f t="shared" si="6"/>
        <v/>
      </c>
      <c r="P197" s="7"/>
      <c r="Q197" s="7"/>
      <c r="R197" s="19">
        <f t="shared" si="7"/>
        <v>0</v>
      </c>
    </row>
    <row r="198" spans="1:18" x14ac:dyDescent="0.2">
      <c r="A198" s="8">
        <v>26</v>
      </c>
      <c r="B198" s="9">
        <v>46066</v>
      </c>
      <c r="C198" s="8" t="s">
        <v>28</v>
      </c>
      <c r="D198" s="8" t="s">
        <v>2</v>
      </c>
      <c r="E198" s="8" t="s">
        <v>20</v>
      </c>
      <c r="F198" s="8"/>
      <c r="G198" s="8"/>
      <c r="H198" s="8">
        <v>200</v>
      </c>
      <c r="I198" s="8">
        <v>13</v>
      </c>
      <c r="J198" s="15">
        <v>0</v>
      </c>
      <c r="K198" s="15">
        <v>2566</v>
      </c>
      <c r="L198" s="15">
        <v>2565.8000000000002</v>
      </c>
      <c r="M198" s="8" t="s">
        <v>21</v>
      </c>
      <c r="N198" s="15"/>
      <c r="O198" s="17" t="str">
        <f t="shared" si="6"/>
        <v/>
      </c>
      <c r="P198" s="8"/>
      <c r="Q198" s="8"/>
      <c r="R198" s="19">
        <f t="shared" si="7"/>
        <v>0</v>
      </c>
    </row>
    <row r="199" spans="1:18" x14ac:dyDescent="0.2">
      <c r="A199" s="8">
        <v>27</v>
      </c>
      <c r="B199" s="9">
        <v>46070</v>
      </c>
      <c r="C199" s="8" t="s">
        <v>35</v>
      </c>
      <c r="D199" s="8" t="s">
        <v>30</v>
      </c>
      <c r="E199" s="8" t="s">
        <v>31</v>
      </c>
      <c r="F199" s="9">
        <v>46073</v>
      </c>
      <c r="G199" s="8">
        <v>550</v>
      </c>
      <c r="H199" s="8">
        <v>1</v>
      </c>
      <c r="I199" s="8">
        <v>12</v>
      </c>
      <c r="J199" s="15">
        <v>1</v>
      </c>
      <c r="K199" s="15">
        <v>1170</v>
      </c>
      <c r="L199" s="15">
        <v>1168.95</v>
      </c>
      <c r="M199" s="8" t="s">
        <v>32</v>
      </c>
      <c r="N199" s="15">
        <v>1169</v>
      </c>
      <c r="O199" s="17">
        <f t="shared" si="6"/>
        <v>2.1253636363636363E-2</v>
      </c>
      <c r="P199" s="8">
        <v>259</v>
      </c>
      <c r="Q199" s="8">
        <v>3</v>
      </c>
      <c r="R199" s="19">
        <f t="shared" si="7"/>
        <v>55000</v>
      </c>
    </row>
    <row r="200" spans="1:18" x14ac:dyDescent="0.2">
      <c r="A200" s="8">
        <v>27</v>
      </c>
      <c r="B200" s="9">
        <v>46070</v>
      </c>
      <c r="C200" s="8" t="s">
        <v>35</v>
      </c>
      <c r="D200" s="8" t="s">
        <v>30</v>
      </c>
      <c r="E200" s="8" t="s">
        <v>44</v>
      </c>
      <c r="F200" s="9">
        <v>46073</v>
      </c>
      <c r="G200" s="8">
        <v>380</v>
      </c>
      <c r="H200" s="8">
        <v>1</v>
      </c>
      <c r="I200" s="8">
        <v>0</v>
      </c>
      <c r="J200" s="15">
        <v>1</v>
      </c>
      <c r="K200" s="15">
        <v>-24</v>
      </c>
      <c r="L200" s="15">
        <v>-25.05</v>
      </c>
      <c r="M200" s="8" t="s">
        <v>21</v>
      </c>
      <c r="N200" s="15">
        <v>-25.05</v>
      </c>
      <c r="O200" s="17">
        <f t="shared" si="6"/>
        <v>-6.5921052631578948E-4</v>
      </c>
      <c r="P200" s="8"/>
      <c r="Q200" s="8">
        <v>3</v>
      </c>
      <c r="R200" s="19">
        <f t="shared" si="7"/>
        <v>38000</v>
      </c>
    </row>
    <row r="201" spans="1:18" x14ac:dyDescent="0.2">
      <c r="A201" s="8">
        <v>28</v>
      </c>
      <c r="B201" s="9">
        <v>46071</v>
      </c>
      <c r="C201" s="8" t="s">
        <v>39</v>
      </c>
      <c r="D201" s="8" t="s">
        <v>30</v>
      </c>
      <c r="E201" s="8" t="s">
        <v>31</v>
      </c>
      <c r="F201" s="9">
        <v>46073</v>
      </c>
      <c r="G201" s="8">
        <v>380</v>
      </c>
      <c r="H201" s="8">
        <v>1</v>
      </c>
      <c r="I201" s="8">
        <v>3</v>
      </c>
      <c r="J201" s="15">
        <v>1</v>
      </c>
      <c r="K201" s="15">
        <v>280</v>
      </c>
      <c r="L201" s="15">
        <v>278.95</v>
      </c>
      <c r="M201" s="8" t="s">
        <v>32</v>
      </c>
      <c r="N201" s="15">
        <v>279</v>
      </c>
      <c r="O201" s="17">
        <f t="shared" si="6"/>
        <v>7.3407894736842103E-3</v>
      </c>
      <c r="P201" s="8">
        <v>134</v>
      </c>
      <c r="Q201" s="8">
        <v>2</v>
      </c>
      <c r="R201" s="19">
        <f t="shared" si="7"/>
        <v>38000</v>
      </c>
    </row>
    <row r="202" spans="1:18" x14ac:dyDescent="0.2">
      <c r="A202" s="8">
        <v>28</v>
      </c>
      <c r="B202" s="9">
        <v>46071</v>
      </c>
      <c r="C202" s="8" t="s">
        <v>39</v>
      </c>
      <c r="D202" s="8" t="s">
        <v>30</v>
      </c>
      <c r="E202" s="8" t="s">
        <v>44</v>
      </c>
      <c r="F202" s="9">
        <v>46073</v>
      </c>
      <c r="G202" s="8">
        <v>290</v>
      </c>
      <c r="H202" s="8">
        <v>1</v>
      </c>
      <c r="I202" s="8">
        <v>0</v>
      </c>
      <c r="J202" s="15">
        <v>1</v>
      </c>
      <c r="K202" s="15">
        <v>-4</v>
      </c>
      <c r="L202" s="15">
        <v>-5.05</v>
      </c>
      <c r="M202" s="8" t="s">
        <v>21</v>
      </c>
      <c r="N202" s="15">
        <v>-5.05</v>
      </c>
      <c r="O202" s="17">
        <f t="shared" si="6"/>
        <v>-1.7413793103448276E-4</v>
      </c>
      <c r="P202" s="8"/>
      <c r="Q202" s="8">
        <v>2</v>
      </c>
      <c r="R202" s="19">
        <f t="shared" si="7"/>
        <v>29000</v>
      </c>
    </row>
    <row r="203" spans="1:18" x14ac:dyDescent="0.2">
      <c r="A203" s="8">
        <v>28</v>
      </c>
      <c r="B203" s="9">
        <v>46071</v>
      </c>
      <c r="C203" s="8" t="s">
        <v>39</v>
      </c>
      <c r="D203" s="8" t="s">
        <v>30</v>
      </c>
      <c r="E203" s="8" t="s">
        <v>44</v>
      </c>
      <c r="F203" s="9">
        <v>46073</v>
      </c>
      <c r="G203" s="8">
        <v>290</v>
      </c>
      <c r="H203" s="8">
        <v>1</v>
      </c>
      <c r="I203" s="8">
        <v>0</v>
      </c>
      <c r="J203" s="15">
        <v>0</v>
      </c>
      <c r="K203" s="15">
        <v>-4</v>
      </c>
      <c r="L203" s="15">
        <v>-4.05</v>
      </c>
      <c r="M203" s="8" t="s">
        <v>21</v>
      </c>
      <c r="N203" s="15">
        <v>-4.05</v>
      </c>
      <c r="O203" s="17">
        <f t="shared" si="6"/>
        <v>-1.396551724137931E-4</v>
      </c>
      <c r="P203" s="8"/>
      <c r="Q203" s="8">
        <v>2</v>
      </c>
      <c r="R203" s="19">
        <f t="shared" si="7"/>
        <v>29000</v>
      </c>
    </row>
    <row r="204" spans="1:18" x14ac:dyDescent="0.2">
      <c r="A204" s="5"/>
      <c r="B204" s="6">
        <v>46073</v>
      </c>
      <c r="C204" s="7" t="s">
        <v>41</v>
      </c>
      <c r="D204" s="7" t="s">
        <v>2</v>
      </c>
      <c r="E204" s="7" t="s">
        <v>24</v>
      </c>
      <c r="F204" s="7"/>
      <c r="G204" s="7"/>
      <c r="H204" s="7">
        <v>300</v>
      </c>
      <c r="I204" s="7">
        <v>90</v>
      </c>
      <c r="J204" s="14">
        <v>0</v>
      </c>
      <c r="K204" s="14">
        <v>-27000</v>
      </c>
      <c r="L204" s="14">
        <v>-27000</v>
      </c>
      <c r="M204" s="7" t="s">
        <v>25</v>
      </c>
      <c r="N204" s="14"/>
      <c r="O204" s="17" t="str">
        <f t="shared" si="6"/>
        <v/>
      </c>
      <c r="P204" s="7"/>
      <c r="Q204" s="7"/>
      <c r="R204" s="19">
        <f t="shared" si="7"/>
        <v>0</v>
      </c>
    </row>
    <row r="205" spans="1:18" x14ac:dyDescent="0.2">
      <c r="A205" s="5"/>
      <c r="B205" s="6">
        <v>46073</v>
      </c>
      <c r="C205" s="7" t="s">
        <v>59</v>
      </c>
      <c r="D205" s="7" t="s">
        <v>2</v>
      </c>
      <c r="E205" s="7" t="s">
        <v>24</v>
      </c>
      <c r="F205" s="7"/>
      <c r="G205" s="7"/>
      <c r="H205" s="7">
        <v>300</v>
      </c>
      <c r="I205" s="7">
        <v>18</v>
      </c>
      <c r="J205" s="14">
        <v>0</v>
      </c>
      <c r="K205" s="14">
        <v>-5250</v>
      </c>
      <c r="L205" s="14">
        <v>-5250</v>
      </c>
      <c r="M205" s="7" t="s">
        <v>25</v>
      </c>
      <c r="N205" s="14"/>
      <c r="O205" s="17" t="str">
        <f t="shared" si="6"/>
        <v/>
      </c>
      <c r="P205" s="7"/>
      <c r="Q205" s="7"/>
      <c r="R205" s="19">
        <f t="shared" si="7"/>
        <v>0</v>
      </c>
    </row>
    <row r="206" spans="1:18" x14ac:dyDescent="0.2">
      <c r="A206" s="5"/>
      <c r="B206" s="6">
        <v>46073</v>
      </c>
      <c r="C206" s="7" t="s">
        <v>60</v>
      </c>
      <c r="D206" s="7" t="s">
        <v>2</v>
      </c>
      <c r="E206" s="7" t="s">
        <v>24</v>
      </c>
      <c r="F206" s="7"/>
      <c r="G206" s="7"/>
      <c r="H206" s="7">
        <v>200</v>
      </c>
      <c r="I206" s="7">
        <v>90</v>
      </c>
      <c r="J206" s="14">
        <v>0</v>
      </c>
      <c r="K206" s="14">
        <v>-18000</v>
      </c>
      <c r="L206" s="14">
        <v>-18000</v>
      </c>
      <c r="M206" s="7" t="s">
        <v>25</v>
      </c>
      <c r="N206" s="14"/>
      <c r="O206" s="17" t="str">
        <f t="shared" si="6"/>
        <v/>
      </c>
      <c r="P206" s="7"/>
      <c r="Q206" s="7"/>
      <c r="R206" s="19">
        <f t="shared" si="7"/>
        <v>0</v>
      </c>
    </row>
    <row r="207" spans="1:18" x14ac:dyDescent="0.2">
      <c r="A207" s="8">
        <v>29</v>
      </c>
      <c r="B207" s="9">
        <v>46076</v>
      </c>
      <c r="C207" s="8" t="s">
        <v>41</v>
      </c>
      <c r="D207" s="8" t="s">
        <v>43</v>
      </c>
      <c r="E207" s="8" t="s">
        <v>31</v>
      </c>
      <c r="F207" s="9">
        <v>46101</v>
      </c>
      <c r="G207" s="8">
        <v>90</v>
      </c>
      <c r="H207" s="8">
        <v>1</v>
      </c>
      <c r="I207" s="8">
        <v>1</v>
      </c>
      <c r="J207" s="15">
        <v>1</v>
      </c>
      <c r="K207" s="15">
        <v>143</v>
      </c>
      <c r="L207" s="15">
        <v>142.30000000000001</v>
      </c>
      <c r="M207" s="8" t="s">
        <v>32</v>
      </c>
      <c r="N207" s="15">
        <v>142</v>
      </c>
      <c r="O207" s="17">
        <f t="shared" si="6"/>
        <v>1.5811111111111113E-2</v>
      </c>
      <c r="P207" s="8"/>
      <c r="Q207" s="8">
        <v>25</v>
      </c>
      <c r="R207" s="19">
        <f t="shared" si="7"/>
        <v>9000</v>
      </c>
    </row>
    <row r="208" spans="1:18" x14ac:dyDescent="0.2">
      <c r="A208" s="8">
        <v>29</v>
      </c>
      <c r="B208" s="9">
        <v>46076</v>
      </c>
      <c r="C208" s="8" t="s">
        <v>41</v>
      </c>
      <c r="D208" s="8" t="s">
        <v>43</v>
      </c>
      <c r="E208" s="8" t="s">
        <v>31</v>
      </c>
      <c r="F208" s="9">
        <v>46101</v>
      </c>
      <c r="G208" s="8">
        <v>90</v>
      </c>
      <c r="H208" s="8">
        <v>2</v>
      </c>
      <c r="I208" s="8">
        <v>1</v>
      </c>
      <c r="J208" s="15">
        <v>1</v>
      </c>
      <c r="K208" s="15">
        <v>286</v>
      </c>
      <c r="L208" s="15">
        <v>284.60000000000002</v>
      </c>
      <c r="M208" s="8" t="s">
        <v>32</v>
      </c>
      <c r="N208" s="15">
        <v>285</v>
      </c>
      <c r="O208" s="17">
        <f t="shared" si="6"/>
        <v>1.5811111111111113E-2</v>
      </c>
      <c r="P208" s="8"/>
      <c r="Q208" s="8">
        <v>25</v>
      </c>
      <c r="R208" s="19">
        <f t="shared" si="7"/>
        <v>18000</v>
      </c>
    </row>
    <row r="209" spans="1:18" x14ac:dyDescent="0.2">
      <c r="A209" s="8">
        <v>29</v>
      </c>
      <c r="B209" s="9">
        <v>46076</v>
      </c>
      <c r="C209" s="8" t="s">
        <v>82</v>
      </c>
      <c r="D209" s="8" t="s">
        <v>30</v>
      </c>
      <c r="E209" s="8" t="s">
        <v>31</v>
      </c>
      <c r="F209" s="9">
        <v>46101</v>
      </c>
      <c r="G209" s="8">
        <v>190</v>
      </c>
      <c r="H209" s="8">
        <v>2</v>
      </c>
      <c r="I209" s="8">
        <v>3</v>
      </c>
      <c r="J209" s="15">
        <v>1</v>
      </c>
      <c r="K209" s="15">
        <v>610</v>
      </c>
      <c r="L209" s="15">
        <v>608.6</v>
      </c>
      <c r="M209" s="8" t="s">
        <v>32</v>
      </c>
      <c r="N209" s="15">
        <v>609</v>
      </c>
      <c r="O209" s="17">
        <f t="shared" si="6"/>
        <v>1.6015789473684212E-2</v>
      </c>
      <c r="P209" s="8">
        <v>23</v>
      </c>
      <c r="Q209" s="8">
        <v>25</v>
      </c>
      <c r="R209" s="19">
        <f t="shared" si="7"/>
        <v>38000</v>
      </c>
    </row>
    <row r="210" spans="1:18" x14ac:dyDescent="0.2">
      <c r="A210" s="8">
        <v>29</v>
      </c>
      <c r="B210" s="9">
        <v>46076</v>
      </c>
      <c r="C210" s="8" t="s">
        <v>83</v>
      </c>
      <c r="D210" s="8" t="s">
        <v>30</v>
      </c>
      <c r="E210" s="8" t="s">
        <v>31</v>
      </c>
      <c r="F210" s="9">
        <v>46101</v>
      </c>
      <c r="G210" s="8">
        <v>155</v>
      </c>
      <c r="H210" s="8">
        <v>2</v>
      </c>
      <c r="I210" s="8">
        <v>1</v>
      </c>
      <c r="J210" s="15">
        <v>1</v>
      </c>
      <c r="K210" s="15">
        <v>276</v>
      </c>
      <c r="L210" s="15">
        <v>275.16000000000003</v>
      </c>
      <c r="M210" s="8" t="s">
        <v>21</v>
      </c>
      <c r="N210" s="15">
        <v>275</v>
      </c>
      <c r="O210" s="17">
        <f t="shared" si="6"/>
        <v>8.876129032258066E-3</v>
      </c>
      <c r="P210" s="8">
        <v>13</v>
      </c>
      <c r="Q210" s="8">
        <v>25</v>
      </c>
      <c r="R210" s="19">
        <f t="shared" si="7"/>
        <v>31000</v>
      </c>
    </row>
    <row r="211" spans="1:18" x14ac:dyDescent="0.2">
      <c r="A211" s="8">
        <v>29</v>
      </c>
      <c r="B211" s="9">
        <v>46076</v>
      </c>
      <c r="C211" s="8" t="s">
        <v>45</v>
      </c>
      <c r="D211" s="8" t="s">
        <v>30</v>
      </c>
      <c r="E211" s="8" t="s">
        <v>31</v>
      </c>
      <c r="F211" s="9">
        <v>46101</v>
      </c>
      <c r="G211" s="8">
        <v>90</v>
      </c>
      <c r="H211" s="8">
        <v>2</v>
      </c>
      <c r="I211" s="8">
        <v>2</v>
      </c>
      <c r="J211" s="15">
        <v>1</v>
      </c>
      <c r="K211" s="15">
        <v>452</v>
      </c>
      <c r="L211" s="15">
        <v>450.59</v>
      </c>
      <c r="M211" s="8" t="s">
        <v>46</v>
      </c>
      <c r="N211" s="15">
        <v>451</v>
      </c>
      <c r="O211" s="17">
        <f t="shared" si="6"/>
        <v>2.5032777777777775E-2</v>
      </c>
      <c r="P211" s="8">
        <v>37</v>
      </c>
      <c r="Q211" s="8">
        <v>25</v>
      </c>
      <c r="R211" s="19">
        <f t="shared" si="7"/>
        <v>18000</v>
      </c>
    </row>
    <row r="212" spans="1:18" x14ac:dyDescent="0.2">
      <c r="A212" s="8">
        <v>29</v>
      </c>
      <c r="B212" s="9">
        <v>46076</v>
      </c>
      <c r="C212" s="8" t="s">
        <v>84</v>
      </c>
      <c r="D212" s="8" t="s">
        <v>30</v>
      </c>
      <c r="E212" s="8" t="s">
        <v>31</v>
      </c>
      <c r="F212" s="9">
        <v>46101</v>
      </c>
      <c r="G212" s="8">
        <v>250</v>
      </c>
      <c r="H212" s="8">
        <v>1</v>
      </c>
      <c r="I212" s="8">
        <v>7</v>
      </c>
      <c r="J212" s="15">
        <v>1</v>
      </c>
      <c r="K212" s="15">
        <v>689</v>
      </c>
      <c r="L212" s="15">
        <v>687.95</v>
      </c>
      <c r="M212" s="8" t="s">
        <v>32</v>
      </c>
      <c r="N212" s="15">
        <v>688</v>
      </c>
      <c r="O212" s="17">
        <f t="shared" si="6"/>
        <v>2.7518000000000001E-2</v>
      </c>
      <c r="P212" s="8">
        <v>40</v>
      </c>
      <c r="Q212" s="8">
        <v>25</v>
      </c>
      <c r="R212" s="19">
        <f t="shared" si="7"/>
        <v>25000</v>
      </c>
    </row>
    <row r="213" spans="1:18" x14ac:dyDescent="0.2">
      <c r="A213" s="8">
        <v>29</v>
      </c>
      <c r="B213" s="9">
        <v>46076</v>
      </c>
      <c r="C213" s="8" t="s">
        <v>85</v>
      </c>
      <c r="D213" s="8" t="s">
        <v>30</v>
      </c>
      <c r="E213" s="8" t="s">
        <v>31</v>
      </c>
      <c r="F213" s="9">
        <v>46101</v>
      </c>
      <c r="G213" s="8">
        <v>100</v>
      </c>
      <c r="H213" s="8">
        <v>1</v>
      </c>
      <c r="I213" s="8">
        <v>2</v>
      </c>
      <c r="J213" s="15">
        <v>1</v>
      </c>
      <c r="K213" s="15">
        <v>162</v>
      </c>
      <c r="L213" s="15">
        <v>160.94999999999999</v>
      </c>
      <c r="M213" s="8" t="s">
        <v>21</v>
      </c>
      <c r="N213" s="15">
        <v>161</v>
      </c>
      <c r="O213" s="17">
        <f t="shared" si="6"/>
        <v>1.6094999999999998E-2</v>
      </c>
      <c r="P213" s="8">
        <v>24</v>
      </c>
      <c r="Q213" s="8">
        <v>25</v>
      </c>
      <c r="R213" s="19">
        <f t="shared" si="7"/>
        <v>10000</v>
      </c>
    </row>
    <row r="214" spans="1:18" x14ac:dyDescent="0.2">
      <c r="A214" s="8">
        <v>29</v>
      </c>
      <c r="B214" s="9">
        <v>46076</v>
      </c>
      <c r="C214" s="8" t="s">
        <v>85</v>
      </c>
      <c r="D214" s="8" t="s">
        <v>30</v>
      </c>
      <c r="E214" s="8" t="s">
        <v>31</v>
      </c>
      <c r="F214" s="9">
        <v>46101</v>
      </c>
      <c r="G214" s="8">
        <v>100</v>
      </c>
      <c r="H214" s="8">
        <v>1</v>
      </c>
      <c r="I214" s="8">
        <v>2</v>
      </c>
      <c r="J214" s="15">
        <v>0</v>
      </c>
      <c r="K214" s="15">
        <v>162</v>
      </c>
      <c r="L214" s="15">
        <v>161.65</v>
      </c>
      <c r="M214" s="8" t="s">
        <v>21</v>
      </c>
      <c r="N214" s="15">
        <v>162</v>
      </c>
      <c r="O214" s="17">
        <f t="shared" si="6"/>
        <v>1.6165000000000002E-2</v>
      </c>
      <c r="P214" s="8">
        <v>24</v>
      </c>
      <c r="Q214" s="8">
        <v>25</v>
      </c>
      <c r="R214" s="19">
        <f t="shared" si="7"/>
        <v>10000</v>
      </c>
    </row>
    <row r="215" spans="1:18" x14ac:dyDescent="0.2">
      <c r="A215" s="8">
        <v>29</v>
      </c>
      <c r="B215" s="9">
        <v>46076</v>
      </c>
      <c r="C215" s="8" t="s">
        <v>38</v>
      </c>
      <c r="D215" s="8" t="s">
        <v>30</v>
      </c>
      <c r="E215" s="8" t="s">
        <v>31</v>
      </c>
      <c r="F215" s="9">
        <v>46101</v>
      </c>
      <c r="G215" s="8">
        <v>230</v>
      </c>
      <c r="H215" s="8">
        <v>1</v>
      </c>
      <c r="I215" s="8">
        <v>3</v>
      </c>
      <c r="J215" s="15">
        <v>1</v>
      </c>
      <c r="K215" s="15">
        <v>341</v>
      </c>
      <c r="L215" s="15">
        <v>339.95</v>
      </c>
      <c r="M215" s="8" t="s">
        <v>32</v>
      </c>
      <c r="N215" s="15">
        <v>340</v>
      </c>
      <c r="O215" s="17">
        <f t="shared" si="6"/>
        <v>1.4780434782608695E-2</v>
      </c>
      <c r="P215" s="8">
        <v>22</v>
      </c>
      <c r="Q215" s="8">
        <v>25</v>
      </c>
      <c r="R215" s="19">
        <f t="shared" si="7"/>
        <v>23000</v>
      </c>
    </row>
    <row r="216" spans="1:18" x14ac:dyDescent="0.2">
      <c r="A216" s="8">
        <v>29</v>
      </c>
      <c r="B216" s="9">
        <v>46076</v>
      </c>
      <c r="C216" s="8" t="s">
        <v>38</v>
      </c>
      <c r="D216" s="8" t="s">
        <v>30</v>
      </c>
      <c r="E216" s="8" t="s">
        <v>31</v>
      </c>
      <c r="F216" s="9">
        <v>46101</v>
      </c>
      <c r="G216" s="8">
        <v>230</v>
      </c>
      <c r="H216" s="8">
        <v>1</v>
      </c>
      <c r="I216" s="8">
        <v>3</v>
      </c>
      <c r="J216" s="15">
        <v>0</v>
      </c>
      <c r="K216" s="15">
        <v>341</v>
      </c>
      <c r="L216" s="15">
        <v>340.65</v>
      </c>
      <c r="M216" s="8" t="s">
        <v>32</v>
      </c>
      <c r="N216" s="15">
        <v>341</v>
      </c>
      <c r="O216" s="17">
        <f t="shared" si="6"/>
        <v>1.4810869565217391E-2</v>
      </c>
      <c r="P216" s="8">
        <v>22</v>
      </c>
      <c r="Q216" s="8">
        <v>25</v>
      </c>
      <c r="R216" s="19">
        <f t="shared" si="7"/>
        <v>23000</v>
      </c>
    </row>
    <row r="217" spans="1:18" x14ac:dyDescent="0.2">
      <c r="A217" s="8">
        <v>29</v>
      </c>
      <c r="B217" s="9">
        <v>46076</v>
      </c>
      <c r="C217" s="8" t="s">
        <v>27</v>
      </c>
      <c r="D217" s="8" t="s">
        <v>30</v>
      </c>
      <c r="E217" s="8" t="s">
        <v>31</v>
      </c>
      <c r="F217" s="9">
        <v>46101</v>
      </c>
      <c r="G217" s="8">
        <v>20</v>
      </c>
      <c r="H217" s="8">
        <v>2</v>
      </c>
      <c r="I217" s="8">
        <v>0</v>
      </c>
      <c r="J217" s="15">
        <v>1</v>
      </c>
      <c r="K217" s="15">
        <v>90</v>
      </c>
      <c r="L217" s="15">
        <v>88.95</v>
      </c>
      <c r="M217" s="8" t="s">
        <v>46</v>
      </c>
      <c r="N217" s="15">
        <v>89</v>
      </c>
      <c r="O217" s="17">
        <f t="shared" si="6"/>
        <v>2.22375E-2</v>
      </c>
      <c r="P217" s="8">
        <v>33</v>
      </c>
      <c r="Q217" s="8">
        <v>25</v>
      </c>
      <c r="R217" s="19">
        <f t="shared" si="7"/>
        <v>4000</v>
      </c>
    </row>
    <row r="218" spans="1:18" x14ac:dyDescent="0.2">
      <c r="A218" s="8">
        <v>29</v>
      </c>
      <c r="B218" s="9">
        <v>46076</v>
      </c>
      <c r="C218" s="8" t="s">
        <v>27</v>
      </c>
      <c r="D218" s="8" t="s">
        <v>30</v>
      </c>
      <c r="E218" s="8" t="s">
        <v>31</v>
      </c>
      <c r="F218" s="9">
        <v>46101</v>
      </c>
      <c r="G218" s="8">
        <v>20</v>
      </c>
      <c r="H218" s="8">
        <v>1</v>
      </c>
      <c r="I218" s="8">
        <v>0</v>
      </c>
      <c r="J218" s="15">
        <v>0</v>
      </c>
      <c r="K218" s="15">
        <v>45</v>
      </c>
      <c r="L218" s="15">
        <v>44.95</v>
      </c>
      <c r="M218" s="8" t="s">
        <v>46</v>
      </c>
      <c r="N218" s="15">
        <v>45</v>
      </c>
      <c r="O218" s="17">
        <f t="shared" si="6"/>
        <v>2.2475000000000002E-2</v>
      </c>
      <c r="P218" s="8">
        <v>33</v>
      </c>
      <c r="Q218" s="8">
        <v>25</v>
      </c>
      <c r="R218" s="19">
        <f t="shared" si="7"/>
        <v>2000</v>
      </c>
    </row>
    <row r="219" spans="1:18" x14ac:dyDescent="0.2">
      <c r="A219" s="8">
        <v>29</v>
      </c>
      <c r="B219" s="9">
        <v>46076</v>
      </c>
      <c r="C219" s="8" t="s">
        <v>27</v>
      </c>
      <c r="D219" s="8" t="s">
        <v>30</v>
      </c>
      <c r="E219" s="8" t="s">
        <v>31</v>
      </c>
      <c r="F219" s="9">
        <v>46101</v>
      </c>
      <c r="G219" s="8">
        <v>20</v>
      </c>
      <c r="H219" s="8">
        <v>1</v>
      </c>
      <c r="I219" s="8">
        <v>0</v>
      </c>
      <c r="J219" s="15">
        <v>-0.3</v>
      </c>
      <c r="K219" s="15">
        <v>45</v>
      </c>
      <c r="L219" s="15">
        <v>45.3</v>
      </c>
      <c r="M219" s="8" t="s">
        <v>46</v>
      </c>
      <c r="N219" s="15">
        <v>45</v>
      </c>
      <c r="O219" s="17">
        <f t="shared" si="6"/>
        <v>2.265E-2</v>
      </c>
      <c r="P219" s="8">
        <v>33</v>
      </c>
      <c r="Q219" s="8">
        <v>25</v>
      </c>
      <c r="R219" s="19">
        <f t="shared" si="7"/>
        <v>2000</v>
      </c>
    </row>
    <row r="220" spans="1:18" x14ac:dyDescent="0.2">
      <c r="A220" s="8">
        <v>29</v>
      </c>
      <c r="B220" s="9">
        <v>46076</v>
      </c>
      <c r="C220" s="8" t="s">
        <v>52</v>
      </c>
      <c r="D220" s="8" t="s">
        <v>30</v>
      </c>
      <c r="E220" s="8" t="s">
        <v>31</v>
      </c>
      <c r="F220" s="9">
        <v>46101</v>
      </c>
      <c r="G220" s="8">
        <v>95</v>
      </c>
      <c r="H220" s="8">
        <v>2</v>
      </c>
      <c r="I220" s="8">
        <v>3</v>
      </c>
      <c r="J220" s="15">
        <v>1</v>
      </c>
      <c r="K220" s="15">
        <v>598</v>
      </c>
      <c r="L220" s="15">
        <v>596.6</v>
      </c>
      <c r="M220" s="8" t="s">
        <v>32</v>
      </c>
      <c r="N220" s="15">
        <v>597</v>
      </c>
      <c r="O220" s="17">
        <f t="shared" si="6"/>
        <v>3.1400000000000004E-2</v>
      </c>
      <c r="P220" s="8">
        <v>46</v>
      </c>
      <c r="Q220" s="8">
        <v>25</v>
      </c>
      <c r="R220" s="19">
        <f t="shared" si="7"/>
        <v>19000</v>
      </c>
    </row>
    <row r="221" spans="1:18" x14ac:dyDescent="0.2">
      <c r="A221" s="8">
        <v>29</v>
      </c>
      <c r="B221" s="9">
        <v>46076</v>
      </c>
      <c r="C221" s="8" t="s">
        <v>86</v>
      </c>
      <c r="D221" s="8" t="s">
        <v>30</v>
      </c>
      <c r="E221" s="8" t="s">
        <v>31</v>
      </c>
      <c r="F221" s="9">
        <v>46101</v>
      </c>
      <c r="G221" s="8">
        <v>40</v>
      </c>
      <c r="H221" s="8">
        <v>2</v>
      </c>
      <c r="I221" s="8">
        <v>1</v>
      </c>
      <c r="J221" s="15">
        <v>1</v>
      </c>
      <c r="K221" s="15">
        <v>196</v>
      </c>
      <c r="L221" s="15">
        <v>194.6</v>
      </c>
      <c r="M221" s="8" t="s">
        <v>32</v>
      </c>
      <c r="N221" s="15">
        <v>195</v>
      </c>
      <c r="O221" s="17">
        <f t="shared" si="6"/>
        <v>2.4324999999999999E-2</v>
      </c>
      <c r="P221" s="8">
        <v>36</v>
      </c>
      <c r="Q221" s="8">
        <v>25</v>
      </c>
      <c r="R221" s="19">
        <f t="shared" si="7"/>
        <v>8000</v>
      </c>
    </row>
    <row r="222" spans="1:18" x14ac:dyDescent="0.2">
      <c r="A222" s="8">
        <v>29</v>
      </c>
      <c r="B222" s="9">
        <v>46076</v>
      </c>
      <c r="C222" s="8" t="s">
        <v>86</v>
      </c>
      <c r="D222" s="8" t="s">
        <v>30</v>
      </c>
      <c r="E222" s="8" t="s">
        <v>31</v>
      </c>
      <c r="F222" s="9">
        <v>46101</v>
      </c>
      <c r="G222" s="8">
        <v>40</v>
      </c>
      <c r="H222" s="8">
        <v>2</v>
      </c>
      <c r="I222" s="8">
        <v>1</v>
      </c>
      <c r="J222" s="15">
        <v>1</v>
      </c>
      <c r="K222" s="15">
        <v>186</v>
      </c>
      <c r="L222" s="15">
        <v>184.6</v>
      </c>
      <c r="M222" s="8" t="s">
        <v>32</v>
      </c>
      <c r="N222" s="15">
        <v>185</v>
      </c>
      <c r="O222" s="17">
        <f t="shared" si="6"/>
        <v>2.3074999999999998E-2</v>
      </c>
      <c r="P222" s="8">
        <v>34</v>
      </c>
      <c r="Q222" s="8">
        <v>25</v>
      </c>
      <c r="R222" s="19">
        <f t="shared" si="7"/>
        <v>8000</v>
      </c>
    </row>
    <row r="223" spans="1:18" x14ac:dyDescent="0.2">
      <c r="A223" s="8">
        <v>29</v>
      </c>
      <c r="B223" s="9">
        <v>46076</v>
      </c>
      <c r="C223" s="8" t="s">
        <v>61</v>
      </c>
      <c r="D223" s="8" t="s">
        <v>30</v>
      </c>
      <c r="E223" s="8" t="s">
        <v>31</v>
      </c>
      <c r="F223" s="9">
        <v>46101</v>
      </c>
      <c r="G223" s="8">
        <v>10</v>
      </c>
      <c r="H223" s="8">
        <v>5</v>
      </c>
      <c r="I223" s="8">
        <v>0</v>
      </c>
      <c r="J223" s="15">
        <v>4</v>
      </c>
      <c r="K223" s="15">
        <v>110</v>
      </c>
      <c r="L223" s="15">
        <v>106.49</v>
      </c>
      <c r="M223" s="8" t="s">
        <v>46</v>
      </c>
      <c r="N223" s="15">
        <v>106</v>
      </c>
      <c r="O223" s="17">
        <f t="shared" si="6"/>
        <v>2.1297999999999997E-2</v>
      </c>
      <c r="P223" s="8">
        <v>32</v>
      </c>
      <c r="Q223" s="8">
        <v>25</v>
      </c>
      <c r="R223" s="19">
        <f t="shared" si="7"/>
        <v>5000</v>
      </c>
    </row>
    <row r="224" spans="1:18" x14ac:dyDescent="0.2">
      <c r="A224" s="8">
        <v>29</v>
      </c>
      <c r="B224" s="9">
        <v>46076</v>
      </c>
      <c r="C224" s="8" t="s">
        <v>35</v>
      </c>
      <c r="D224" s="8" t="s">
        <v>30</v>
      </c>
      <c r="E224" s="8" t="s">
        <v>31</v>
      </c>
      <c r="F224" s="9">
        <v>46101</v>
      </c>
      <c r="G224" s="8">
        <v>510</v>
      </c>
      <c r="H224" s="8">
        <v>1</v>
      </c>
      <c r="I224" s="8">
        <v>17</v>
      </c>
      <c r="J224" s="15">
        <v>1</v>
      </c>
      <c r="K224" s="15">
        <v>1699</v>
      </c>
      <c r="L224" s="15">
        <v>1697.95</v>
      </c>
      <c r="M224" s="8" t="s">
        <v>32</v>
      </c>
      <c r="N224" s="15">
        <v>1698</v>
      </c>
      <c r="O224" s="17">
        <f t="shared" si="6"/>
        <v>3.3293137254901961E-2</v>
      </c>
      <c r="P224" s="8">
        <v>49</v>
      </c>
      <c r="Q224" s="8">
        <v>25</v>
      </c>
      <c r="R224" s="19">
        <f t="shared" si="7"/>
        <v>51000</v>
      </c>
    </row>
    <row r="225" spans="1:18" x14ac:dyDescent="0.2">
      <c r="A225" s="8">
        <v>29</v>
      </c>
      <c r="B225" s="9">
        <v>46076</v>
      </c>
      <c r="C225" s="8" t="s">
        <v>39</v>
      </c>
      <c r="D225" s="8" t="s">
        <v>30</v>
      </c>
      <c r="E225" s="8" t="s">
        <v>31</v>
      </c>
      <c r="F225" s="9">
        <v>46101</v>
      </c>
      <c r="G225" s="8">
        <v>330</v>
      </c>
      <c r="H225" s="8">
        <v>1</v>
      </c>
      <c r="I225" s="8">
        <v>5</v>
      </c>
      <c r="J225" s="15">
        <v>1</v>
      </c>
      <c r="K225" s="15">
        <v>534</v>
      </c>
      <c r="L225" s="15">
        <v>532.95000000000005</v>
      </c>
      <c r="M225" s="8" t="s">
        <v>21</v>
      </c>
      <c r="N225" s="15">
        <v>533</v>
      </c>
      <c r="O225" s="17">
        <f t="shared" si="6"/>
        <v>1.6150000000000001E-2</v>
      </c>
      <c r="P225" s="8">
        <v>24</v>
      </c>
      <c r="Q225" s="8">
        <v>25</v>
      </c>
      <c r="R225" s="19">
        <f t="shared" si="7"/>
        <v>33000</v>
      </c>
    </row>
    <row r="226" spans="1:18" x14ac:dyDescent="0.2">
      <c r="A226" s="8">
        <v>29</v>
      </c>
      <c r="B226" s="9">
        <v>46076</v>
      </c>
      <c r="C226" s="8" t="s">
        <v>39</v>
      </c>
      <c r="D226" s="8" t="s">
        <v>30</v>
      </c>
      <c r="E226" s="8" t="s">
        <v>31</v>
      </c>
      <c r="F226" s="9">
        <v>46101</v>
      </c>
      <c r="G226" s="8">
        <v>330</v>
      </c>
      <c r="H226" s="8">
        <v>1</v>
      </c>
      <c r="I226" s="8">
        <v>5</v>
      </c>
      <c r="J226" s="15">
        <v>0</v>
      </c>
      <c r="K226" s="15">
        <v>534</v>
      </c>
      <c r="L226" s="15">
        <v>533.65</v>
      </c>
      <c r="M226" s="8" t="s">
        <v>21</v>
      </c>
      <c r="N226" s="15">
        <v>534</v>
      </c>
      <c r="O226" s="17">
        <f t="shared" si="6"/>
        <v>1.6171212121212121E-2</v>
      </c>
      <c r="P226" s="8">
        <v>24</v>
      </c>
      <c r="Q226" s="8">
        <v>25</v>
      </c>
      <c r="R226" s="19">
        <f t="shared" si="7"/>
        <v>33000</v>
      </c>
    </row>
    <row r="227" spans="1:18" x14ac:dyDescent="0.2">
      <c r="A227" s="8">
        <v>30</v>
      </c>
      <c r="B227" s="9">
        <v>46080</v>
      </c>
      <c r="C227" s="8" t="s">
        <v>86</v>
      </c>
      <c r="D227" s="8" t="s">
        <v>30</v>
      </c>
      <c r="E227" s="8" t="s">
        <v>31</v>
      </c>
      <c r="F227" s="9">
        <v>46101</v>
      </c>
      <c r="G227" s="8">
        <v>45</v>
      </c>
      <c r="H227" s="8">
        <v>2</v>
      </c>
      <c r="I227" s="8">
        <v>1</v>
      </c>
      <c r="J227" s="15">
        <v>1</v>
      </c>
      <c r="K227" s="15">
        <v>226</v>
      </c>
      <c r="L227" s="15">
        <v>224.6</v>
      </c>
      <c r="M227" s="8" t="s">
        <v>32</v>
      </c>
      <c r="N227" s="15">
        <v>225</v>
      </c>
      <c r="O227" s="17">
        <f t="shared" si="6"/>
        <v>2.4955555555555554E-2</v>
      </c>
      <c r="P227" s="8">
        <v>44</v>
      </c>
      <c r="Q227" s="8">
        <v>21</v>
      </c>
      <c r="R227" s="19">
        <f t="shared" si="7"/>
        <v>9000</v>
      </c>
    </row>
    <row r="228" spans="1:18" x14ac:dyDescent="0.2">
      <c r="A228" s="8">
        <v>30</v>
      </c>
      <c r="B228" s="9">
        <v>46080</v>
      </c>
      <c r="C228" s="8" t="s">
        <v>86</v>
      </c>
      <c r="D228" s="8" t="s">
        <v>30</v>
      </c>
      <c r="E228" s="8" t="s">
        <v>31</v>
      </c>
      <c r="F228" s="9">
        <v>46101</v>
      </c>
      <c r="G228" s="8">
        <v>45</v>
      </c>
      <c r="H228" s="8">
        <v>2</v>
      </c>
      <c r="I228" s="8">
        <v>1</v>
      </c>
      <c r="J228" s="15">
        <v>1</v>
      </c>
      <c r="K228" s="15">
        <v>226</v>
      </c>
      <c r="L228" s="15">
        <v>224.6</v>
      </c>
      <c r="M228" s="8" t="s">
        <v>32</v>
      </c>
      <c r="N228" s="15">
        <v>225</v>
      </c>
      <c r="O228" s="17">
        <f t="shared" si="6"/>
        <v>2.4955555555555554E-2</v>
      </c>
      <c r="P228" s="8">
        <v>44</v>
      </c>
      <c r="Q228" s="8">
        <v>21</v>
      </c>
      <c r="R228" s="19">
        <f t="shared" si="7"/>
        <v>9000</v>
      </c>
    </row>
    <row r="229" spans="1:18" x14ac:dyDescent="0.2">
      <c r="A229" s="8">
        <v>30</v>
      </c>
      <c r="B229" s="9">
        <v>46080</v>
      </c>
      <c r="C229" s="8" t="s">
        <v>85</v>
      </c>
      <c r="D229" s="8" t="s">
        <v>30</v>
      </c>
      <c r="E229" s="8" t="s">
        <v>44</v>
      </c>
      <c r="F229" s="9">
        <v>46101</v>
      </c>
      <c r="G229" s="8">
        <v>100</v>
      </c>
      <c r="H229" s="8">
        <v>1</v>
      </c>
      <c r="I229" s="8">
        <v>0</v>
      </c>
      <c r="J229" s="15">
        <v>1</v>
      </c>
      <c r="K229" s="15">
        <v>-13</v>
      </c>
      <c r="L229" s="15">
        <v>-14.05</v>
      </c>
      <c r="M229" s="8" t="s">
        <v>21</v>
      </c>
      <c r="N229" s="15">
        <v>-14.05</v>
      </c>
      <c r="O229" s="17">
        <f t="shared" si="6"/>
        <v>-1.405E-3</v>
      </c>
      <c r="P229" s="8"/>
      <c r="Q229" s="8">
        <v>21</v>
      </c>
      <c r="R229" s="19">
        <f t="shared" si="7"/>
        <v>10000</v>
      </c>
    </row>
    <row r="230" spans="1:18" x14ac:dyDescent="0.2">
      <c r="A230" s="10">
        <v>31</v>
      </c>
      <c r="B230" s="11">
        <v>46097</v>
      </c>
      <c r="C230" s="10" t="s">
        <v>52</v>
      </c>
      <c r="D230" s="10" t="s">
        <v>30</v>
      </c>
      <c r="E230" s="10" t="s">
        <v>31</v>
      </c>
      <c r="F230" s="11">
        <v>46101</v>
      </c>
      <c r="G230" s="10">
        <v>100</v>
      </c>
      <c r="H230" s="10">
        <v>1</v>
      </c>
      <c r="I230" s="10">
        <v>1</v>
      </c>
      <c r="J230" s="16">
        <v>1</v>
      </c>
      <c r="K230" s="16">
        <v>113</v>
      </c>
      <c r="L230" s="16">
        <v>111.95</v>
      </c>
      <c r="M230" s="10" t="s">
        <v>32</v>
      </c>
      <c r="N230" s="16">
        <v>112</v>
      </c>
      <c r="O230" s="17">
        <f t="shared" si="6"/>
        <v>1.1195E-2</v>
      </c>
      <c r="P230" s="10">
        <v>103</v>
      </c>
      <c r="Q230" s="10">
        <v>4</v>
      </c>
      <c r="R230" s="19">
        <f t="shared" si="7"/>
        <v>10000</v>
      </c>
    </row>
    <row r="231" spans="1:18" x14ac:dyDescent="0.2">
      <c r="A231" s="10">
        <v>31</v>
      </c>
      <c r="B231" s="11">
        <v>46097</v>
      </c>
      <c r="C231" s="10" t="s">
        <v>52</v>
      </c>
      <c r="D231" s="10" t="s">
        <v>30</v>
      </c>
      <c r="E231" s="10" t="s">
        <v>31</v>
      </c>
      <c r="F231" s="11">
        <v>46101</v>
      </c>
      <c r="G231" s="10">
        <v>100</v>
      </c>
      <c r="H231" s="10">
        <v>1</v>
      </c>
      <c r="I231" s="10">
        <v>1</v>
      </c>
      <c r="J231" s="16">
        <v>0</v>
      </c>
      <c r="K231" s="16">
        <v>113</v>
      </c>
      <c r="L231" s="16">
        <v>112.65</v>
      </c>
      <c r="M231" s="10" t="s">
        <v>32</v>
      </c>
      <c r="N231" s="16">
        <v>113</v>
      </c>
      <c r="O231" s="17">
        <f t="shared" si="6"/>
        <v>1.1265000000000001E-2</v>
      </c>
      <c r="P231" s="10">
        <v>103</v>
      </c>
      <c r="Q231" s="10">
        <v>4</v>
      </c>
      <c r="R231" s="19">
        <f t="shared" si="7"/>
        <v>10000</v>
      </c>
    </row>
    <row r="232" spans="1:18" x14ac:dyDescent="0.2">
      <c r="A232" s="10">
        <v>31</v>
      </c>
      <c r="B232" s="11">
        <v>46097</v>
      </c>
      <c r="C232" s="10" t="s">
        <v>83</v>
      </c>
      <c r="D232" s="10" t="s">
        <v>30</v>
      </c>
      <c r="E232" s="10" t="s">
        <v>44</v>
      </c>
      <c r="F232" s="11">
        <v>46101</v>
      </c>
      <c r="G232" s="10">
        <v>155</v>
      </c>
      <c r="H232" s="10">
        <v>1</v>
      </c>
      <c r="I232" s="10">
        <v>0</v>
      </c>
      <c r="J232" s="16">
        <v>1</v>
      </c>
      <c r="K232" s="16">
        <v>-13</v>
      </c>
      <c r="L232" s="16">
        <v>-14.05</v>
      </c>
      <c r="M232" s="10" t="s">
        <v>21</v>
      </c>
      <c r="N232" s="16">
        <v>-14.05</v>
      </c>
      <c r="O232" s="17">
        <f t="shared" si="6"/>
        <v>-9.0645161290322585E-4</v>
      </c>
      <c r="Q232" s="10">
        <v>4</v>
      </c>
      <c r="R232" s="19">
        <f t="shared" si="7"/>
        <v>15500</v>
      </c>
    </row>
    <row r="233" spans="1:18" x14ac:dyDescent="0.2">
      <c r="A233" s="10">
        <v>31</v>
      </c>
      <c r="B233" s="11">
        <v>46097</v>
      </c>
      <c r="C233" s="10" t="s">
        <v>83</v>
      </c>
      <c r="D233" s="10" t="s">
        <v>30</v>
      </c>
      <c r="E233" s="10" t="s">
        <v>44</v>
      </c>
      <c r="F233" s="11">
        <v>46101</v>
      </c>
      <c r="G233" s="10">
        <v>155</v>
      </c>
      <c r="H233" s="10">
        <v>1</v>
      </c>
      <c r="I233" s="10">
        <v>0</v>
      </c>
      <c r="J233" s="16">
        <v>0</v>
      </c>
      <c r="K233" s="16">
        <v>-13</v>
      </c>
      <c r="L233" s="16">
        <v>-13.35</v>
      </c>
      <c r="M233" s="10" t="s">
        <v>21</v>
      </c>
      <c r="N233" s="16">
        <v>-13.35</v>
      </c>
      <c r="O233" s="17">
        <f t="shared" si="6"/>
        <v>-8.6129032258064515E-4</v>
      </c>
      <c r="Q233" s="10">
        <v>4</v>
      </c>
      <c r="R233" s="19">
        <f t="shared" si="7"/>
        <v>15500</v>
      </c>
    </row>
    <row r="234" spans="1:18" x14ac:dyDescent="0.2">
      <c r="A234" s="10">
        <v>31</v>
      </c>
      <c r="B234" s="11">
        <v>46097</v>
      </c>
      <c r="C234" s="10" t="s">
        <v>39</v>
      </c>
      <c r="D234" s="10" t="s">
        <v>30</v>
      </c>
      <c r="E234" s="10" t="s">
        <v>31</v>
      </c>
      <c r="F234" s="11">
        <v>46101</v>
      </c>
      <c r="G234" s="10">
        <v>365</v>
      </c>
      <c r="H234" s="10">
        <v>1</v>
      </c>
      <c r="I234" s="10">
        <v>2</v>
      </c>
      <c r="J234" s="16">
        <v>1</v>
      </c>
      <c r="K234" s="16">
        <v>170</v>
      </c>
      <c r="L234" s="16">
        <v>168.95</v>
      </c>
      <c r="M234" s="10" t="s">
        <v>32</v>
      </c>
      <c r="N234" s="16">
        <v>169</v>
      </c>
      <c r="O234" s="17">
        <f t="shared" si="6"/>
        <v>4.6287671232876706E-3</v>
      </c>
      <c r="P234" s="10">
        <v>43</v>
      </c>
      <c r="Q234" s="10">
        <v>4</v>
      </c>
      <c r="R234" s="19">
        <f t="shared" si="7"/>
        <v>36500</v>
      </c>
    </row>
    <row r="235" spans="1:18" x14ac:dyDescent="0.2">
      <c r="A235" s="10">
        <v>31</v>
      </c>
      <c r="B235" s="11">
        <v>46097</v>
      </c>
      <c r="C235" s="10" t="s">
        <v>39</v>
      </c>
      <c r="D235" s="10" t="s">
        <v>30</v>
      </c>
      <c r="E235" s="10" t="s">
        <v>44</v>
      </c>
      <c r="F235" s="11">
        <v>46101</v>
      </c>
      <c r="G235" s="10">
        <v>330</v>
      </c>
      <c r="H235" s="10">
        <v>2</v>
      </c>
      <c r="I235" s="10">
        <v>0</v>
      </c>
      <c r="J235" s="16">
        <v>1</v>
      </c>
      <c r="K235" s="16">
        <v>-94</v>
      </c>
      <c r="L235" s="16">
        <v>-95.4</v>
      </c>
      <c r="M235" s="10" t="s">
        <v>21</v>
      </c>
      <c r="N235" s="16">
        <v>-95.4</v>
      </c>
      <c r="O235" s="17">
        <f t="shared" si="6"/>
        <v>-1.4454545454545456E-3</v>
      </c>
      <c r="Q235" s="10">
        <v>4</v>
      </c>
      <c r="R235" s="19">
        <f t="shared" si="7"/>
        <v>66000</v>
      </c>
    </row>
    <row r="236" spans="1:18" x14ac:dyDescent="0.2">
      <c r="A236" s="5"/>
      <c r="B236" s="6">
        <v>46099</v>
      </c>
      <c r="C236" s="7" t="s">
        <v>45</v>
      </c>
      <c r="D236" s="7" t="s">
        <v>2</v>
      </c>
      <c r="E236" s="7" t="s">
        <v>24</v>
      </c>
      <c r="F236" s="7"/>
      <c r="G236" s="7"/>
      <c r="H236" s="7">
        <v>200</v>
      </c>
      <c r="I236" s="7">
        <v>90</v>
      </c>
      <c r="J236" s="14">
        <v>0</v>
      </c>
      <c r="K236" s="14">
        <v>-18000</v>
      </c>
      <c r="L236" s="14">
        <v>-18000</v>
      </c>
      <c r="M236" s="7" t="s">
        <v>25</v>
      </c>
      <c r="N236" s="14"/>
      <c r="O236" s="17" t="str">
        <f t="shared" si="6"/>
        <v/>
      </c>
      <c r="P236" s="7"/>
      <c r="Q236" s="7"/>
      <c r="R236" s="19">
        <f t="shared" si="7"/>
        <v>0</v>
      </c>
    </row>
    <row r="237" spans="1:18" x14ac:dyDescent="0.2">
      <c r="A237" s="5"/>
      <c r="B237" s="6">
        <v>46100</v>
      </c>
      <c r="C237" s="7" t="s">
        <v>61</v>
      </c>
      <c r="D237" s="7" t="s">
        <v>2</v>
      </c>
      <c r="E237" s="7" t="s">
        <v>24</v>
      </c>
      <c r="F237" s="7"/>
      <c r="G237" s="7"/>
      <c r="H237" s="7">
        <v>500</v>
      </c>
      <c r="I237" s="7">
        <v>10</v>
      </c>
      <c r="J237" s="14">
        <v>0</v>
      </c>
      <c r="K237" s="14">
        <v>-5000</v>
      </c>
      <c r="L237" s="14">
        <v>-5000</v>
      </c>
      <c r="M237" s="7" t="s">
        <v>46</v>
      </c>
      <c r="N237" s="14"/>
      <c r="O237" s="17" t="str">
        <f t="shared" si="6"/>
        <v/>
      </c>
      <c r="P237" s="7"/>
      <c r="Q237" s="7"/>
      <c r="R237" s="19">
        <f t="shared" si="7"/>
        <v>0</v>
      </c>
    </row>
    <row r="238" spans="1:18" x14ac:dyDescent="0.2">
      <c r="A238" s="5"/>
      <c r="B238" s="6">
        <v>46101</v>
      </c>
      <c r="C238" s="7" t="s">
        <v>27</v>
      </c>
      <c r="D238" s="7" t="s">
        <v>2</v>
      </c>
      <c r="E238" s="7" t="s">
        <v>24</v>
      </c>
      <c r="F238" s="7"/>
      <c r="G238" s="7"/>
      <c r="H238" s="7">
        <v>400</v>
      </c>
      <c r="I238" s="7">
        <v>20</v>
      </c>
      <c r="J238" s="14">
        <v>0</v>
      </c>
      <c r="K238" s="14">
        <v>-8000</v>
      </c>
      <c r="L238" s="14">
        <v>-8000</v>
      </c>
      <c r="M238" s="7" t="s">
        <v>46</v>
      </c>
      <c r="N238" s="14"/>
      <c r="O238" s="17" t="str">
        <f t="shared" si="6"/>
        <v/>
      </c>
      <c r="P238" s="7"/>
      <c r="Q238" s="7"/>
      <c r="R238" s="19">
        <f t="shared" si="7"/>
        <v>0</v>
      </c>
    </row>
    <row r="239" spans="1:18" x14ac:dyDescent="0.2">
      <c r="A239" s="10">
        <v>32</v>
      </c>
      <c r="B239" s="11">
        <v>46104</v>
      </c>
      <c r="C239" s="10" t="s">
        <v>38</v>
      </c>
      <c r="D239" s="10" t="s">
        <v>30</v>
      </c>
      <c r="E239" s="10" t="s">
        <v>31</v>
      </c>
      <c r="F239" s="11">
        <v>46129</v>
      </c>
      <c r="G239" s="10">
        <v>230</v>
      </c>
      <c r="H239" s="10">
        <v>1</v>
      </c>
      <c r="I239" s="10">
        <v>3</v>
      </c>
      <c r="J239" s="16">
        <v>1</v>
      </c>
      <c r="K239" s="16">
        <v>318</v>
      </c>
      <c r="L239" s="16">
        <v>316.95</v>
      </c>
      <c r="M239" s="10" t="s">
        <v>32</v>
      </c>
      <c r="N239" s="16">
        <v>317</v>
      </c>
      <c r="O239" s="17">
        <f t="shared" si="6"/>
        <v>1.3780434782608696E-2</v>
      </c>
      <c r="P239" s="10">
        <v>20</v>
      </c>
      <c r="Q239" s="10">
        <v>25</v>
      </c>
      <c r="R239" s="19">
        <f t="shared" si="7"/>
        <v>23000</v>
      </c>
    </row>
    <row r="240" spans="1:18" x14ac:dyDescent="0.2">
      <c r="A240" s="10">
        <v>32</v>
      </c>
      <c r="B240" s="11">
        <v>46104</v>
      </c>
      <c r="C240" s="10" t="s">
        <v>38</v>
      </c>
      <c r="D240" s="10" t="s">
        <v>30</v>
      </c>
      <c r="E240" s="10" t="s">
        <v>31</v>
      </c>
      <c r="F240" s="11">
        <v>46129</v>
      </c>
      <c r="G240" s="10">
        <v>230</v>
      </c>
      <c r="H240" s="10">
        <v>1</v>
      </c>
      <c r="I240" s="10">
        <v>3</v>
      </c>
      <c r="J240" s="16">
        <v>0</v>
      </c>
      <c r="K240" s="16">
        <v>318</v>
      </c>
      <c r="L240" s="16">
        <v>317.64999999999998</v>
      </c>
      <c r="M240" s="10" t="s">
        <v>32</v>
      </c>
      <c r="N240" s="16">
        <v>318</v>
      </c>
      <c r="O240" s="17">
        <f t="shared" si="6"/>
        <v>1.381086956521739E-2</v>
      </c>
      <c r="P240" s="10">
        <v>20</v>
      </c>
      <c r="Q240" s="10">
        <v>25</v>
      </c>
      <c r="R240" s="19">
        <f t="shared" si="7"/>
        <v>23000</v>
      </c>
    </row>
    <row r="241" spans="1:18" x14ac:dyDescent="0.2">
      <c r="A241" s="10">
        <v>32</v>
      </c>
      <c r="B241" s="11">
        <v>46104</v>
      </c>
      <c r="C241" s="10" t="s">
        <v>73</v>
      </c>
      <c r="D241" s="10" t="s">
        <v>30</v>
      </c>
      <c r="E241" s="10" t="s">
        <v>31</v>
      </c>
      <c r="F241" s="11">
        <v>46129</v>
      </c>
      <c r="G241" s="10">
        <v>420</v>
      </c>
      <c r="H241" s="10">
        <v>1</v>
      </c>
      <c r="I241" s="10">
        <v>6</v>
      </c>
      <c r="J241" s="16">
        <v>2</v>
      </c>
      <c r="K241" s="16">
        <v>560</v>
      </c>
      <c r="L241" s="16">
        <v>558.1</v>
      </c>
      <c r="M241" s="10" t="s">
        <v>32</v>
      </c>
      <c r="N241" s="16">
        <v>558</v>
      </c>
      <c r="O241" s="17">
        <f t="shared" si="6"/>
        <v>1.3288095238095239E-2</v>
      </c>
      <c r="P241" s="10">
        <v>19</v>
      </c>
      <c r="Q241" s="10">
        <v>25</v>
      </c>
      <c r="R241" s="19">
        <f t="shared" si="7"/>
        <v>42000</v>
      </c>
    </row>
    <row r="242" spans="1:18" x14ac:dyDescent="0.2">
      <c r="A242" s="10">
        <v>32</v>
      </c>
      <c r="B242" s="11">
        <v>46104</v>
      </c>
      <c r="C242" s="10" t="s">
        <v>52</v>
      </c>
      <c r="D242" s="10" t="s">
        <v>30</v>
      </c>
      <c r="E242" s="10" t="s">
        <v>31</v>
      </c>
      <c r="F242" s="11">
        <v>46129</v>
      </c>
      <c r="G242" s="10">
        <v>85</v>
      </c>
      <c r="H242" s="10">
        <v>2</v>
      </c>
      <c r="I242" s="10">
        <v>2</v>
      </c>
      <c r="J242" s="16">
        <v>-0.6</v>
      </c>
      <c r="K242" s="16">
        <v>320</v>
      </c>
      <c r="L242" s="16">
        <v>320.60000000000002</v>
      </c>
      <c r="M242" s="10" t="s">
        <v>32</v>
      </c>
      <c r="N242" s="16">
        <v>321</v>
      </c>
      <c r="O242" s="17">
        <f t="shared" si="6"/>
        <v>1.8858823529411765E-2</v>
      </c>
      <c r="P242" s="10">
        <v>27</v>
      </c>
      <c r="Q242" s="10">
        <v>25</v>
      </c>
      <c r="R242" s="19">
        <f t="shared" si="7"/>
        <v>17000</v>
      </c>
    </row>
    <row r="243" spans="1:18" x14ac:dyDescent="0.2">
      <c r="A243" s="10">
        <v>32</v>
      </c>
      <c r="B243" s="11">
        <v>46104</v>
      </c>
      <c r="C243" s="10" t="s">
        <v>39</v>
      </c>
      <c r="D243" s="10" t="s">
        <v>30</v>
      </c>
      <c r="E243" s="10" t="s">
        <v>31</v>
      </c>
      <c r="F243" s="11">
        <v>46129</v>
      </c>
      <c r="G243" s="10">
        <v>330</v>
      </c>
      <c r="H243" s="10">
        <v>2</v>
      </c>
      <c r="I243" s="10">
        <v>3</v>
      </c>
      <c r="J243" s="16">
        <v>1</v>
      </c>
      <c r="K243" s="16">
        <v>680</v>
      </c>
      <c r="L243" s="16">
        <v>678.6</v>
      </c>
      <c r="M243" s="10" t="s">
        <v>32</v>
      </c>
      <c r="N243" s="16">
        <v>679</v>
      </c>
      <c r="O243" s="17">
        <f t="shared" si="6"/>
        <v>1.0281818181818182E-2</v>
      </c>
      <c r="P243" s="10">
        <v>15</v>
      </c>
      <c r="Q243" s="10">
        <v>25</v>
      </c>
      <c r="R243" s="19">
        <f t="shared" si="7"/>
        <v>66000</v>
      </c>
    </row>
    <row r="244" spans="1:18" x14ac:dyDescent="0.2">
      <c r="A244" s="10">
        <v>32</v>
      </c>
      <c r="B244" s="11">
        <v>46104</v>
      </c>
      <c r="C244" s="10" t="s">
        <v>35</v>
      </c>
      <c r="D244" s="10" t="s">
        <v>30</v>
      </c>
      <c r="E244" s="10" t="s">
        <v>31</v>
      </c>
      <c r="F244" s="11">
        <v>46129</v>
      </c>
      <c r="G244" s="10">
        <v>570</v>
      </c>
      <c r="H244" s="10">
        <v>1</v>
      </c>
      <c r="I244" s="10">
        <v>13</v>
      </c>
      <c r="J244" s="16">
        <v>0</v>
      </c>
      <c r="K244" s="16">
        <v>1270</v>
      </c>
      <c r="L244" s="16">
        <v>1269.95</v>
      </c>
      <c r="M244" s="10" t="s">
        <v>32</v>
      </c>
      <c r="N244" s="16">
        <v>127</v>
      </c>
      <c r="O244" s="17">
        <f t="shared" si="6"/>
        <v>2.2279824561403511E-2</v>
      </c>
      <c r="P244" s="10">
        <v>33</v>
      </c>
      <c r="Q244" s="10">
        <v>25</v>
      </c>
      <c r="R244" s="19">
        <f t="shared" si="7"/>
        <v>57000</v>
      </c>
    </row>
    <row r="245" spans="1:18" x14ac:dyDescent="0.2">
      <c r="A245" s="10">
        <v>32</v>
      </c>
      <c r="B245" s="11">
        <v>46104</v>
      </c>
      <c r="C245" s="10" t="s">
        <v>41</v>
      </c>
      <c r="D245" s="10" t="s">
        <v>43</v>
      </c>
      <c r="E245" s="10" t="s">
        <v>31</v>
      </c>
      <c r="F245" s="11">
        <v>46129</v>
      </c>
      <c r="G245" s="10">
        <v>90</v>
      </c>
      <c r="H245" s="10">
        <v>2</v>
      </c>
      <c r="I245" s="10">
        <v>2</v>
      </c>
      <c r="J245" s="16">
        <v>1</v>
      </c>
      <c r="K245" s="16">
        <v>322</v>
      </c>
      <c r="L245" s="16">
        <v>320.60000000000002</v>
      </c>
      <c r="M245" s="10" t="s">
        <v>32</v>
      </c>
      <c r="N245" s="16">
        <v>321</v>
      </c>
      <c r="O245" s="17">
        <f t="shared" si="6"/>
        <v>1.7811111111111111E-2</v>
      </c>
      <c r="Q245" s="10">
        <v>25</v>
      </c>
      <c r="R245" s="19">
        <f t="shared" si="7"/>
        <v>18000</v>
      </c>
    </row>
    <row r="246" spans="1:18" x14ac:dyDescent="0.2">
      <c r="A246" s="10">
        <v>32</v>
      </c>
      <c r="B246" s="11">
        <v>46104</v>
      </c>
      <c r="C246" s="10" t="s">
        <v>41</v>
      </c>
      <c r="D246" s="10" t="s">
        <v>43</v>
      </c>
      <c r="E246" s="10" t="s">
        <v>31</v>
      </c>
      <c r="F246" s="11">
        <v>46129</v>
      </c>
      <c r="G246" s="10">
        <v>90</v>
      </c>
      <c r="H246" s="10">
        <v>1</v>
      </c>
      <c r="I246" s="10">
        <v>2</v>
      </c>
      <c r="J246" s="16">
        <v>1</v>
      </c>
      <c r="K246" s="16">
        <v>161</v>
      </c>
      <c r="L246" s="16">
        <v>160.30000000000001</v>
      </c>
      <c r="M246" s="10" t="s">
        <v>32</v>
      </c>
      <c r="N246" s="16">
        <v>160</v>
      </c>
      <c r="O246" s="17">
        <f t="shared" si="6"/>
        <v>1.7811111111111111E-2</v>
      </c>
      <c r="Q246" s="10">
        <v>25</v>
      </c>
      <c r="R246" s="19">
        <f t="shared" si="7"/>
        <v>9000</v>
      </c>
    </row>
    <row r="247" spans="1:18" x14ac:dyDescent="0.2">
      <c r="A247" s="10">
        <v>32</v>
      </c>
      <c r="B247" s="11">
        <v>46104</v>
      </c>
      <c r="C247" s="10" t="s">
        <v>59</v>
      </c>
      <c r="D247" s="10" t="s">
        <v>2</v>
      </c>
      <c r="E247" s="10" t="s">
        <v>20</v>
      </c>
      <c r="H247" s="10">
        <v>267</v>
      </c>
      <c r="I247" s="10">
        <v>11</v>
      </c>
      <c r="J247" s="16">
        <v>1</v>
      </c>
      <c r="K247" s="16">
        <v>3027.78</v>
      </c>
      <c r="L247" s="16">
        <v>3026.73</v>
      </c>
      <c r="M247" s="10" t="s">
        <v>21</v>
      </c>
      <c r="O247" s="17" t="str">
        <f t="shared" si="6"/>
        <v/>
      </c>
      <c r="R247" s="19">
        <f t="shared" si="7"/>
        <v>0</v>
      </c>
    </row>
    <row r="248" spans="1:18" x14ac:dyDescent="0.2">
      <c r="A248" s="10">
        <v>32</v>
      </c>
      <c r="B248" s="11">
        <v>46104</v>
      </c>
      <c r="C248" s="10" t="s">
        <v>59</v>
      </c>
      <c r="D248" s="10" t="s">
        <v>2</v>
      </c>
      <c r="E248" s="10" t="s">
        <v>20</v>
      </c>
      <c r="H248" s="10">
        <v>1</v>
      </c>
      <c r="I248" s="10">
        <v>11</v>
      </c>
      <c r="J248" s="16">
        <v>0</v>
      </c>
      <c r="K248" s="16">
        <v>11.34</v>
      </c>
      <c r="L248" s="16">
        <v>11.34</v>
      </c>
      <c r="M248" s="10" t="s">
        <v>21</v>
      </c>
      <c r="O248" s="17" t="str">
        <f t="shared" si="6"/>
        <v/>
      </c>
      <c r="R248" s="19">
        <f t="shared" si="7"/>
        <v>0</v>
      </c>
    </row>
    <row r="249" spans="1:18" x14ac:dyDescent="0.2">
      <c r="A249" s="10">
        <v>32</v>
      </c>
      <c r="B249" s="11">
        <v>46104</v>
      </c>
      <c r="C249" s="10" t="s">
        <v>59</v>
      </c>
      <c r="D249" s="10" t="s">
        <v>2</v>
      </c>
      <c r="E249" s="10" t="s">
        <v>20</v>
      </c>
      <c r="H249" s="10">
        <v>132</v>
      </c>
      <c r="I249" s="10">
        <v>11</v>
      </c>
      <c r="J249" s="16">
        <v>1</v>
      </c>
      <c r="K249" s="16">
        <v>1496.88</v>
      </c>
      <c r="L249" s="16">
        <v>1495.85</v>
      </c>
      <c r="M249" s="10" t="s">
        <v>21</v>
      </c>
      <c r="O249" s="17" t="str">
        <f t="shared" si="6"/>
        <v/>
      </c>
      <c r="R249" s="19">
        <f t="shared" si="7"/>
        <v>0</v>
      </c>
    </row>
    <row r="250" spans="1:18" x14ac:dyDescent="0.2">
      <c r="A250" s="10">
        <v>32</v>
      </c>
      <c r="B250" s="11">
        <v>46104</v>
      </c>
      <c r="C250" s="10" t="s">
        <v>23</v>
      </c>
      <c r="D250" s="10" t="s">
        <v>2</v>
      </c>
      <c r="E250" s="10" t="s">
        <v>20</v>
      </c>
      <c r="H250" s="10">
        <v>300</v>
      </c>
      <c r="I250" s="10">
        <v>11</v>
      </c>
      <c r="J250" s="16">
        <v>2</v>
      </c>
      <c r="K250" s="16">
        <v>3168</v>
      </c>
      <c r="L250" s="16">
        <v>3166.44</v>
      </c>
      <c r="M250" s="10" t="s">
        <v>21</v>
      </c>
      <c r="O250" s="17" t="str">
        <f t="shared" si="6"/>
        <v/>
      </c>
      <c r="R250" s="19">
        <f t="shared" si="7"/>
        <v>0</v>
      </c>
    </row>
    <row r="251" spans="1:18" x14ac:dyDescent="0.2">
      <c r="A251" s="10">
        <v>32</v>
      </c>
      <c r="B251" s="11">
        <v>46104</v>
      </c>
      <c r="C251" s="10" t="s">
        <v>60</v>
      </c>
      <c r="D251" s="10" t="s">
        <v>43</v>
      </c>
      <c r="E251" s="10" t="s">
        <v>31</v>
      </c>
      <c r="F251" s="11">
        <v>46129</v>
      </c>
      <c r="G251" s="10">
        <v>60</v>
      </c>
      <c r="H251" s="10">
        <v>1</v>
      </c>
      <c r="I251" s="10">
        <v>1</v>
      </c>
      <c r="J251" s="16">
        <v>1</v>
      </c>
      <c r="K251" s="16">
        <v>149</v>
      </c>
      <c r="L251" s="16">
        <v>147.94999999999999</v>
      </c>
      <c r="M251" s="10" t="s">
        <v>32</v>
      </c>
      <c r="N251" s="16">
        <v>148</v>
      </c>
      <c r="O251" s="17">
        <f t="shared" si="6"/>
        <v>2.4658333333333331E-2</v>
      </c>
      <c r="Q251" s="10">
        <v>25</v>
      </c>
      <c r="R251" s="19">
        <f t="shared" si="7"/>
        <v>6000</v>
      </c>
    </row>
    <row r="252" spans="1:18" x14ac:dyDescent="0.2">
      <c r="A252" s="10">
        <v>32</v>
      </c>
      <c r="B252" s="11">
        <v>46104</v>
      </c>
      <c r="C252" s="10" t="s">
        <v>60</v>
      </c>
      <c r="D252" s="10" t="s">
        <v>43</v>
      </c>
      <c r="E252" s="10" t="s">
        <v>31</v>
      </c>
      <c r="F252" s="11">
        <v>46129</v>
      </c>
      <c r="G252" s="10">
        <v>60</v>
      </c>
      <c r="H252" s="10">
        <v>1</v>
      </c>
      <c r="I252" s="10">
        <v>1</v>
      </c>
      <c r="J252" s="16">
        <v>0</v>
      </c>
      <c r="K252" s="16">
        <v>149</v>
      </c>
      <c r="L252" s="16">
        <v>148.65</v>
      </c>
      <c r="M252" s="10" t="s">
        <v>32</v>
      </c>
      <c r="N252" s="16">
        <v>149</v>
      </c>
      <c r="O252" s="17">
        <f t="shared" si="6"/>
        <v>2.4775000000000002E-2</v>
      </c>
      <c r="Q252" s="10">
        <v>25</v>
      </c>
      <c r="R252" s="19">
        <f t="shared" si="7"/>
        <v>6000</v>
      </c>
    </row>
    <row r="253" spans="1:18" x14ac:dyDescent="0.2">
      <c r="A253" s="10">
        <v>32</v>
      </c>
      <c r="B253" s="11">
        <v>46104</v>
      </c>
      <c r="C253" s="10" t="s">
        <v>27</v>
      </c>
      <c r="D253" s="10" t="s">
        <v>43</v>
      </c>
      <c r="E253" s="10" t="s">
        <v>31</v>
      </c>
      <c r="F253" s="11">
        <v>46129</v>
      </c>
      <c r="G253" s="10">
        <v>20</v>
      </c>
      <c r="H253" s="10">
        <v>7</v>
      </c>
      <c r="I253" s="10">
        <v>1</v>
      </c>
      <c r="J253" s="16">
        <v>-2.09</v>
      </c>
      <c r="K253" s="16">
        <v>728</v>
      </c>
      <c r="L253" s="16">
        <v>730.09</v>
      </c>
      <c r="M253" s="10" t="s">
        <v>46</v>
      </c>
      <c r="N253" s="16">
        <v>730</v>
      </c>
      <c r="O253" s="17">
        <f t="shared" si="6"/>
        <v>5.2149285714285717E-2</v>
      </c>
      <c r="Q253" s="10">
        <v>25</v>
      </c>
      <c r="R253" s="19">
        <f t="shared" si="7"/>
        <v>14000</v>
      </c>
    </row>
    <row r="254" spans="1:18" x14ac:dyDescent="0.2">
      <c r="A254" s="10">
        <v>32</v>
      </c>
      <c r="B254" s="11">
        <v>46104</v>
      </c>
      <c r="C254" s="10" t="s">
        <v>27</v>
      </c>
      <c r="D254" s="10" t="s">
        <v>43</v>
      </c>
      <c r="E254" s="10" t="s">
        <v>31</v>
      </c>
      <c r="F254" s="11">
        <v>46129</v>
      </c>
      <c r="G254" s="10">
        <v>20</v>
      </c>
      <c r="H254" s="10">
        <v>5</v>
      </c>
      <c r="I254" s="10">
        <v>1</v>
      </c>
      <c r="J254" s="16">
        <v>4</v>
      </c>
      <c r="K254" s="16">
        <v>520</v>
      </c>
      <c r="L254" s="16">
        <v>516.49</v>
      </c>
      <c r="M254" s="10" t="s">
        <v>46</v>
      </c>
      <c r="N254" s="16">
        <v>516</v>
      </c>
      <c r="O254" s="17">
        <f t="shared" si="6"/>
        <v>5.1649E-2</v>
      </c>
      <c r="Q254" s="10">
        <v>25</v>
      </c>
      <c r="R254" s="19">
        <f t="shared" si="7"/>
        <v>10000</v>
      </c>
    </row>
    <row r="255" spans="1:18" x14ac:dyDescent="0.2">
      <c r="A255" s="10">
        <v>32</v>
      </c>
      <c r="B255" s="11">
        <v>46104</v>
      </c>
      <c r="C255" s="10" t="s">
        <v>45</v>
      </c>
      <c r="D255" s="10" t="s">
        <v>43</v>
      </c>
      <c r="E255" s="10" t="s">
        <v>31</v>
      </c>
      <c r="F255" s="11">
        <v>46129</v>
      </c>
      <c r="G255" s="10">
        <v>85</v>
      </c>
      <c r="H255" s="10">
        <v>1</v>
      </c>
      <c r="I255" s="10">
        <v>2</v>
      </c>
      <c r="J255" s="16">
        <v>1</v>
      </c>
      <c r="K255" s="16">
        <v>231</v>
      </c>
      <c r="L255" s="16">
        <v>229.95</v>
      </c>
      <c r="M255" s="10" t="s">
        <v>32</v>
      </c>
      <c r="N255" s="16">
        <v>230</v>
      </c>
      <c r="O255" s="17">
        <f t="shared" si="6"/>
        <v>2.7052941176470589E-2</v>
      </c>
      <c r="Q255" s="10">
        <v>25</v>
      </c>
      <c r="R255" s="19">
        <f t="shared" si="7"/>
        <v>8500</v>
      </c>
    </row>
    <row r="256" spans="1:18" x14ac:dyDescent="0.2">
      <c r="A256" s="10">
        <v>32</v>
      </c>
      <c r="B256" s="11">
        <v>46104</v>
      </c>
      <c r="C256" s="10" t="s">
        <v>45</v>
      </c>
      <c r="D256" s="10" t="s">
        <v>43</v>
      </c>
      <c r="E256" s="10" t="s">
        <v>31</v>
      </c>
      <c r="F256" s="11">
        <v>46129</v>
      </c>
      <c r="G256" s="10">
        <v>85</v>
      </c>
      <c r="H256" s="10">
        <v>1</v>
      </c>
      <c r="I256" s="10">
        <v>2</v>
      </c>
      <c r="J256" s="16">
        <v>0</v>
      </c>
      <c r="K256" s="16">
        <v>231</v>
      </c>
      <c r="L256" s="16">
        <v>230.65</v>
      </c>
      <c r="M256" s="10" t="s">
        <v>32</v>
      </c>
      <c r="N256" s="16">
        <v>231</v>
      </c>
      <c r="O256" s="17">
        <f t="shared" si="6"/>
        <v>2.713529411764706E-2</v>
      </c>
      <c r="Q256" s="10">
        <v>25</v>
      </c>
      <c r="R256" s="19">
        <f t="shared" si="7"/>
        <v>8500</v>
      </c>
    </row>
    <row r="257" spans="1:18" x14ac:dyDescent="0.2">
      <c r="A257" s="5">
        <v>33</v>
      </c>
      <c r="B257" s="6">
        <v>46122</v>
      </c>
      <c r="C257" s="7" t="s">
        <v>70</v>
      </c>
      <c r="D257" s="7" t="s">
        <v>30</v>
      </c>
      <c r="E257" s="7" t="s">
        <v>31</v>
      </c>
      <c r="F257" s="6">
        <v>46129</v>
      </c>
      <c r="G257" s="7">
        <v>165</v>
      </c>
      <c r="H257" s="7">
        <v>2</v>
      </c>
      <c r="I257" s="7">
        <v>1</v>
      </c>
      <c r="J257" s="14">
        <v>1</v>
      </c>
      <c r="K257" s="14">
        <v>294</v>
      </c>
      <c r="L257" s="14">
        <v>292.58999999999997</v>
      </c>
      <c r="M257" s="7" t="s">
        <v>32</v>
      </c>
      <c r="N257" s="14">
        <v>293</v>
      </c>
      <c r="O257" s="17">
        <f t="shared" si="6"/>
        <v>8.8663636363636358E-3</v>
      </c>
      <c r="P257" s="7">
        <v>46</v>
      </c>
      <c r="Q257" s="7">
        <v>7</v>
      </c>
      <c r="R257" s="19">
        <f t="shared" si="7"/>
        <v>33000</v>
      </c>
    </row>
    <row r="258" spans="1:18" x14ac:dyDescent="0.2">
      <c r="A258" s="5">
        <v>33</v>
      </c>
      <c r="B258" s="6">
        <v>46122</v>
      </c>
      <c r="C258" s="7" t="s">
        <v>70</v>
      </c>
      <c r="D258" s="7" t="s">
        <v>30</v>
      </c>
      <c r="E258" s="7" t="s">
        <v>31</v>
      </c>
      <c r="F258" s="6">
        <v>46129</v>
      </c>
      <c r="G258" s="7">
        <v>165</v>
      </c>
      <c r="H258" s="7">
        <v>2</v>
      </c>
      <c r="I258" s="7">
        <v>1</v>
      </c>
      <c r="J258" s="14">
        <v>1</v>
      </c>
      <c r="K258" s="14">
        <v>294</v>
      </c>
      <c r="L258" s="14">
        <v>292.58999999999997</v>
      </c>
      <c r="M258" s="7" t="s">
        <v>32</v>
      </c>
      <c r="N258" s="14">
        <v>293</v>
      </c>
      <c r="O258" s="17">
        <f t="shared" ref="O258:O321" si="8">IFERROR(L258/(G258*100*H258),"")</f>
        <v>8.8663636363636358E-3</v>
      </c>
      <c r="P258" s="7">
        <v>46</v>
      </c>
      <c r="Q258" s="7">
        <v>7</v>
      </c>
      <c r="R258" s="19">
        <f t="shared" ref="R258:R321" si="9">H258*G258*100</f>
        <v>33000</v>
      </c>
    </row>
    <row r="259" spans="1:18" x14ac:dyDescent="0.2">
      <c r="A259" s="5">
        <v>34</v>
      </c>
      <c r="B259" s="6">
        <v>46126</v>
      </c>
      <c r="C259" s="7" t="s">
        <v>71</v>
      </c>
      <c r="D259" s="7" t="s">
        <v>30</v>
      </c>
      <c r="E259" s="7" t="s">
        <v>31</v>
      </c>
      <c r="F259" s="6">
        <v>46129</v>
      </c>
      <c r="G259" s="7">
        <v>155</v>
      </c>
      <c r="H259" s="7">
        <v>1</v>
      </c>
      <c r="I259" s="7">
        <v>1</v>
      </c>
      <c r="J259" s="14">
        <v>1</v>
      </c>
      <c r="K259" s="14">
        <v>63</v>
      </c>
      <c r="L259" s="14">
        <v>62.29</v>
      </c>
      <c r="M259" s="7" t="s">
        <v>32</v>
      </c>
      <c r="N259" s="14">
        <v>62</v>
      </c>
      <c r="O259" s="17">
        <f t="shared" si="8"/>
        <v>4.0187096774193546E-3</v>
      </c>
      <c r="P259" s="7">
        <v>49</v>
      </c>
      <c r="Q259" s="7">
        <v>3</v>
      </c>
      <c r="R259" s="19">
        <f t="shared" si="9"/>
        <v>15500</v>
      </c>
    </row>
    <row r="260" spans="1:18" x14ac:dyDescent="0.2">
      <c r="A260" s="5">
        <v>34</v>
      </c>
      <c r="B260" s="6">
        <v>46126</v>
      </c>
      <c r="C260" s="7" t="s">
        <v>71</v>
      </c>
      <c r="D260" s="7" t="s">
        <v>30</v>
      </c>
      <c r="E260" s="7" t="s">
        <v>31</v>
      </c>
      <c r="F260" s="6">
        <v>46129</v>
      </c>
      <c r="G260" s="7">
        <v>155</v>
      </c>
      <c r="H260" s="7">
        <v>3</v>
      </c>
      <c r="I260" s="7">
        <v>1</v>
      </c>
      <c r="J260" s="14">
        <v>2</v>
      </c>
      <c r="K260" s="14">
        <v>192</v>
      </c>
      <c r="L260" s="14">
        <v>189.88</v>
      </c>
      <c r="M260" s="7" t="s">
        <v>32</v>
      </c>
      <c r="N260" s="14">
        <v>190</v>
      </c>
      <c r="O260" s="17">
        <f t="shared" si="8"/>
        <v>4.0834408602150535E-3</v>
      </c>
      <c r="P260" s="7">
        <v>50</v>
      </c>
      <c r="Q260" s="7">
        <v>3</v>
      </c>
      <c r="R260" s="19">
        <f t="shared" si="9"/>
        <v>46500</v>
      </c>
    </row>
    <row r="261" spans="1:18" x14ac:dyDescent="0.2">
      <c r="A261" s="5"/>
      <c r="B261" s="6">
        <v>46129</v>
      </c>
      <c r="C261" s="7" t="s">
        <v>27</v>
      </c>
      <c r="D261" s="7" t="s">
        <v>2</v>
      </c>
      <c r="E261" s="7" t="s">
        <v>18</v>
      </c>
      <c r="F261" s="7"/>
      <c r="G261" s="7"/>
      <c r="H261" s="7">
        <v>1.2</v>
      </c>
      <c r="I261" s="7">
        <v>20</v>
      </c>
      <c r="J261" s="14">
        <v>1</v>
      </c>
      <c r="K261" s="14">
        <v>24000</v>
      </c>
      <c r="L261" s="14">
        <v>23999.27</v>
      </c>
      <c r="M261" s="7" t="s">
        <v>18</v>
      </c>
      <c r="N261" s="14"/>
      <c r="O261" s="17" t="str">
        <f t="shared" si="8"/>
        <v/>
      </c>
      <c r="P261" s="7"/>
      <c r="Q261" s="7"/>
      <c r="R261" s="19">
        <f t="shared" si="9"/>
        <v>0</v>
      </c>
    </row>
    <row r="262" spans="1:18" x14ac:dyDescent="0.2">
      <c r="A262" s="5">
        <v>35</v>
      </c>
      <c r="B262" s="6">
        <v>46132</v>
      </c>
      <c r="C262" s="7" t="s">
        <v>72</v>
      </c>
      <c r="D262" s="7" t="s">
        <v>30</v>
      </c>
      <c r="E262" s="7" t="s">
        <v>31</v>
      </c>
      <c r="F262" s="6">
        <v>46157</v>
      </c>
      <c r="G262" s="7">
        <v>130</v>
      </c>
      <c r="H262" s="7">
        <v>2</v>
      </c>
      <c r="I262" s="7">
        <v>1</v>
      </c>
      <c r="J262" s="14">
        <v>1</v>
      </c>
      <c r="K262" s="14">
        <v>252</v>
      </c>
      <c r="L262" s="14">
        <v>250.59</v>
      </c>
      <c r="M262" s="7" t="s">
        <v>32</v>
      </c>
      <c r="N262" s="14">
        <v>251</v>
      </c>
      <c r="O262" s="17">
        <f t="shared" si="8"/>
        <v>9.6380769230769228E-3</v>
      </c>
      <c r="P262" s="7">
        <v>14</v>
      </c>
      <c r="Q262" s="7">
        <v>25</v>
      </c>
      <c r="R262" s="19">
        <f t="shared" si="9"/>
        <v>26000</v>
      </c>
    </row>
    <row r="263" spans="1:18" x14ac:dyDescent="0.2">
      <c r="A263" s="5">
        <v>35</v>
      </c>
      <c r="B263" s="6">
        <v>46132</v>
      </c>
      <c r="C263" s="7" t="s">
        <v>72</v>
      </c>
      <c r="D263" s="7" t="s">
        <v>30</v>
      </c>
      <c r="E263" s="7" t="s">
        <v>31</v>
      </c>
      <c r="F263" s="6">
        <v>46157</v>
      </c>
      <c r="G263" s="7">
        <v>130</v>
      </c>
      <c r="H263" s="7">
        <v>2</v>
      </c>
      <c r="I263" s="7">
        <v>1</v>
      </c>
      <c r="J263" s="14">
        <v>1</v>
      </c>
      <c r="K263" s="14">
        <v>252</v>
      </c>
      <c r="L263" s="14">
        <v>250.59</v>
      </c>
      <c r="M263" s="7" t="s">
        <v>32</v>
      </c>
      <c r="N263" s="14">
        <v>251</v>
      </c>
      <c r="O263" s="17">
        <f t="shared" si="8"/>
        <v>9.6380769230769228E-3</v>
      </c>
      <c r="P263" s="7">
        <v>14</v>
      </c>
      <c r="Q263" s="7">
        <v>25</v>
      </c>
      <c r="R263" s="19">
        <f t="shared" si="9"/>
        <v>26000</v>
      </c>
    </row>
    <row r="264" spans="1:18" x14ac:dyDescent="0.2">
      <c r="A264" s="5">
        <v>35</v>
      </c>
      <c r="B264" s="6">
        <v>46132</v>
      </c>
      <c r="C264" s="7" t="s">
        <v>73</v>
      </c>
      <c r="D264" s="7" t="s">
        <v>30</v>
      </c>
      <c r="E264" s="7" t="s">
        <v>31</v>
      </c>
      <c r="F264" s="6">
        <v>46157</v>
      </c>
      <c r="G264" s="7">
        <v>530</v>
      </c>
      <c r="H264" s="7">
        <v>1</v>
      </c>
      <c r="I264" s="7">
        <v>13</v>
      </c>
      <c r="J264" s="14">
        <v>1</v>
      </c>
      <c r="K264" s="14">
        <v>1301</v>
      </c>
      <c r="L264" s="14">
        <v>1299.92</v>
      </c>
      <c r="M264" s="7" t="s">
        <v>32</v>
      </c>
      <c r="N264" s="14">
        <v>13</v>
      </c>
      <c r="O264" s="17">
        <f t="shared" si="8"/>
        <v>2.4526792452830189E-2</v>
      </c>
      <c r="P264" s="7">
        <v>36</v>
      </c>
      <c r="Q264" s="7">
        <v>25</v>
      </c>
      <c r="R264" s="19">
        <f t="shared" si="9"/>
        <v>53000</v>
      </c>
    </row>
    <row r="265" spans="1:18" x14ac:dyDescent="0.2">
      <c r="A265" s="5">
        <v>35</v>
      </c>
      <c r="B265" s="6">
        <v>46132</v>
      </c>
      <c r="C265" s="7" t="s">
        <v>38</v>
      </c>
      <c r="D265" s="7" t="s">
        <v>30</v>
      </c>
      <c r="E265" s="7" t="s">
        <v>31</v>
      </c>
      <c r="F265" s="6">
        <v>46157</v>
      </c>
      <c r="G265" s="7">
        <v>320</v>
      </c>
      <c r="H265" s="7">
        <v>1</v>
      </c>
      <c r="I265" s="7">
        <v>7</v>
      </c>
      <c r="J265" s="14">
        <v>1</v>
      </c>
      <c r="K265" s="14">
        <v>700</v>
      </c>
      <c r="L265" s="14">
        <v>698.93</v>
      </c>
      <c r="M265" s="7" t="s">
        <v>32</v>
      </c>
      <c r="N265" s="14">
        <v>699</v>
      </c>
      <c r="O265" s="17">
        <f t="shared" si="8"/>
        <v>2.1841562499999998E-2</v>
      </c>
      <c r="P265" s="7">
        <v>32</v>
      </c>
      <c r="Q265" s="7">
        <v>25</v>
      </c>
      <c r="R265" s="19">
        <f t="shared" si="9"/>
        <v>32000</v>
      </c>
    </row>
    <row r="266" spans="1:18" x14ac:dyDescent="0.2">
      <c r="A266" s="5">
        <v>35</v>
      </c>
      <c r="B266" s="6">
        <v>46132</v>
      </c>
      <c r="C266" s="7" t="s">
        <v>52</v>
      </c>
      <c r="D266" s="7" t="s">
        <v>30</v>
      </c>
      <c r="E266" s="7" t="s">
        <v>31</v>
      </c>
      <c r="F266" s="6">
        <v>46157</v>
      </c>
      <c r="G266" s="7">
        <v>130</v>
      </c>
      <c r="H266" s="7">
        <v>4</v>
      </c>
      <c r="I266" s="7">
        <v>3</v>
      </c>
      <c r="J266" s="14">
        <v>3</v>
      </c>
      <c r="K266" s="14">
        <v>1240</v>
      </c>
      <c r="L266" s="14">
        <v>1237.17</v>
      </c>
      <c r="M266" s="7" t="s">
        <v>32</v>
      </c>
      <c r="N266" s="14">
        <v>1237</v>
      </c>
      <c r="O266" s="17">
        <f t="shared" si="8"/>
        <v>2.379173076923077E-2</v>
      </c>
      <c r="P266" s="7">
        <v>35</v>
      </c>
      <c r="Q266" s="7">
        <v>25</v>
      </c>
      <c r="R266" s="19">
        <f t="shared" si="9"/>
        <v>52000</v>
      </c>
    </row>
    <row r="267" spans="1:18" x14ac:dyDescent="0.2">
      <c r="A267" s="5">
        <v>35</v>
      </c>
      <c r="B267" s="6">
        <v>46132</v>
      </c>
      <c r="C267" s="7" t="s">
        <v>42</v>
      </c>
      <c r="D267" s="7" t="s">
        <v>30</v>
      </c>
      <c r="E267" s="7" t="s">
        <v>31</v>
      </c>
      <c r="F267" s="6">
        <v>46157</v>
      </c>
      <c r="G267" s="7">
        <v>95</v>
      </c>
      <c r="H267" s="7">
        <v>4</v>
      </c>
      <c r="I267" s="7">
        <v>2</v>
      </c>
      <c r="J267" s="14">
        <v>3</v>
      </c>
      <c r="K267" s="14">
        <v>816</v>
      </c>
      <c r="L267" s="14">
        <v>813.18</v>
      </c>
      <c r="M267" s="7" t="s">
        <v>32</v>
      </c>
      <c r="N267" s="14">
        <v>813</v>
      </c>
      <c r="O267" s="17">
        <f t="shared" si="8"/>
        <v>2.1399473684210524E-2</v>
      </c>
      <c r="P267" s="7">
        <v>31</v>
      </c>
      <c r="Q267" s="7">
        <v>25</v>
      </c>
      <c r="R267" s="19">
        <f t="shared" si="9"/>
        <v>38000</v>
      </c>
    </row>
    <row r="268" spans="1:18" x14ac:dyDescent="0.2">
      <c r="A268" s="5">
        <v>35</v>
      </c>
      <c r="B268" s="6">
        <v>46132</v>
      </c>
      <c r="C268" s="7" t="s">
        <v>35</v>
      </c>
      <c r="D268" s="7" t="s">
        <v>30</v>
      </c>
      <c r="E268" s="7" t="s">
        <v>31</v>
      </c>
      <c r="F268" s="6">
        <v>46157</v>
      </c>
      <c r="G268" s="7">
        <v>710</v>
      </c>
      <c r="H268" s="7">
        <v>1</v>
      </c>
      <c r="I268" s="7">
        <v>28</v>
      </c>
      <c r="J268" s="14">
        <v>1</v>
      </c>
      <c r="K268" s="14">
        <v>2818</v>
      </c>
      <c r="L268" s="14">
        <v>2816.89</v>
      </c>
      <c r="M268" s="7" t="s">
        <v>32</v>
      </c>
      <c r="N268" s="14">
        <v>2817</v>
      </c>
      <c r="O268" s="17">
        <f t="shared" si="8"/>
        <v>3.9674507042253518E-2</v>
      </c>
      <c r="P268" s="7">
        <v>58</v>
      </c>
      <c r="Q268" s="7">
        <v>25</v>
      </c>
      <c r="R268" s="19">
        <f t="shared" si="9"/>
        <v>71000</v>
      </c>
    </row>
    <row r="269" spans="1:18" x14ac:dyDescent="0.2">
      <c r="A269" s="5">
        <v>35</v>
      </c>
      <c r="B269" s="6">
        <v>46132</v>
      </c>
      <c r="C269" s="7" t="s">
        <v>39</v>
      </c>
      <c r="D269" s="7" t="s">
        <v>30</v>
      </c>
      <c r="E269" s="7" t="s">
        <v>31</v>
      </c>
      <c r="F269" s="6">
        <v>46157</v>
      </c>
      <c r="G269" s="7">
        <v>370</v>
      </c>
      <c r="H269" s="7">
        <v>1</v>
      </c>
      <c r="I269" s="7">
        <v>6</v>
      </c>
      <c r="J269" s="14">
        <v>1</v>
      </c>
      <c r="K269" s="14">
        <v>646</v>
      </c>
      <c r="L269" s="14">
        <v>644.94000000000005</v>
      </c>
      <c r="M269" s="7" t="s">
        <v>32</v>
      </c>
      <c r="N269" s="14">
        <v>645</v>
      </c>
      <c r="O269" s="17">
        <f t="shared" si="8"/>
        <v>1.7430810810810812E-2</v>
      </c>
      <c r="P269" s="7">
        <v>25</v>
      </c>
      <c r="Q269" s="7">
        <v>25</v>
      </c>
      <c r="R269" s="19">
        <f t="shared" si="9"/>
        <v>37000</v>
      </c>
    </row>
    <row r="270" spans="1:18" x14ac:dyDescent="0.2">
      <c r="A270" s="5">
        <v>35</v>
      </c>
      <c r="B270" s="6">
        <v>46132</v>
      </c>
      <c r="C270" s="7" t="s">
        <v>39</v>
      </c>
      <c r="D270" s="7" t="s">
        <v>30</v>
      </c>
      <c r="E270" s="7" t="s">
        <v>31</v>
      </c>
      <c r="F270" s="6">
        <v>46157</v>
      </c>
      <c r="G270" s="7">
        <v>370</v>
      </c>
      <c r="H270" s="7">
        <v>1</v>
      </c>
      <c r="I270" s="7">
        <v>6</v>
      </c>
      <c r="J270" s="14">
        <v>0</v>
      </c>
      <c r="K270" s="14">
        <v>646</v>
      </c>
      <c r="L270" s="14">
        <v>645.64</v>
      </c>
      <c r="M270" s="7" t="s">
        <v>32</v>
      </c>
      <c r="N270" s="14">
        <v>646</v>
      </c>
      <c r="O270" s="17">
        <f t="shared" si="8"/>
        <v>1.7449729729729729E-2</v>
      </c>
      <c r="P270" s="7">
        <v>25</v>
      </c>
      <c r="Q270" s="7">
        <v>25</v>
      </c>
      <c r="R270" s="19">
        <f t="shared" si="9"/>
        <v>37000</v>
      </c>
    </row>
    <row r="271" spans="1:18" x14ac:dyDescent="0.2">
      <c r="A271" s="5">
        <v>36</v>
      </c>
      <c r="B271" s="6">
        <v>46133</v>
      </c>
      <c r="C271" s="7" t="s">
        <v>60</v>
      </c>
      <c r="D271" s="7" t="s">
        <v>2</v>
      </c>
      <c r="E271" s="7" t="s">
        <v>20</v>
      </c>
      <c r="F271" s="7"/>
      <c r="G271" s="7"/>
      <c r="H271" s="7">
        <v>200</v>
      </c>
      <c r="I271" s="7">
        <v>52</v>
      </c>
      <c r="J271" s="14">
        <v>1</v>
      </c>
      <c r="K271" s="14">
        <v>10380</v>
      </c>
      <c r="L271" s="14">
        <v>10378.75</v>
      </c>
      <c r="M271" s="7" t="s">
        <v>21</v>
      </c>
      <c r="N271" s="14"/>
      <c r="O271" s="17" t="str">
        <f t="shared" si="8"/>
        <v/>
      </c>
      <c r="P271" s="7"/>
      <c r="Q271" s="7"/>
      <c r="R271" s="19">
        <f t="shared" si="9"/>
        <v>0</v>
      </c>
    </row>
    <row r="272" spans="1:18" x14ac:dyDescent="0.2">
      <c r="A272" s="5">
        <v>36</v>
      </c>
      <c r="B272" s="6">
        <v>46133</v>
      </c>
      <c r="C272" s="7" t="s">
        <v>41</v>
      </c>
      <c r="D272" s="7" t="s">
        <v>43</v>
      </c>
      <c r="E272" s="7" t="s">
        <v>31</v>
      </c>
      <c r="F272" s="6">
        <v>46157</v>
      </c>
      <c r="G272" s="7">
        <v>90</v>
      </c>
      <c r="H272" s="7">
        <v>1</v>
      </c>
      <c r="I272" s="7">
        <v>5</v>
      </c>
      <c r="J272" s="14">
        <v>1</v>
      </c>
      <c r="K272" s="14">
        <v>495</v>
      </c>
      <c r="L272" s="14">
        <v>493.94</v>
      </c>
      <c r="M272" s="7" t="s">
        <v>32</v>
      </c>
      <c r="N272" s="14">
        <v>494</v>
      </c>
      <c r="O272" s="17">
        <f t="shared" si="8"/>
        <v>5.4882222222222221E-2</v>
      </c>
      <c r="P272" s="7"/>
      <c r="Q272" s="7">
        <v>24</v>
      </c>
      <c r="R272" s="19">
        <f t="shared" si="9"/>
        <v>9000</v>
      </c>
    </row>
    <row r="273" spans="1:18" x14ac:dyDescent="0.2">
      <c r="A273" s="5">
        <v>36</v>
      </c>
      <c r="B273" s="6">
        <v>46133</v>
      </c>
      <c r="C273" s="7" t="s">
        <v>41</v>
      </c>
      <c r="D273" s="7" t="s">
        <v>43</v>
      </c>
      <c r="E273" s="7" t="s">
        <v>31</v>
      </c>
      <c r="F273" s="6">
        <v>46157</v>
      </c>
      <c r="G273" s="7">
        <v>90</v>
      </c>
      <c r="H273" s="7">
        <v>2</v>
      </c>
      <c r="I273" s="7">
        <v>5</v>
      </c>
      <c r="J273" s="14">
        <v>1</v>
      </c>
      <c r="K273" s="14">
        <v>990</v>
      </c>
      <c r="L273" s="14">
        <v>988.92</v>
      </c>
      <c r="M273" s="7" t="s">
        <v>32</v>
      </c>
      <c r="N273" s="14">
        <v>989</v>
      </c>
      <c r="O273" s="17">
        <f t="shared" si="8"/>
        <v>5.4939999999999996E-2</v>
      </c>
      <c r="P273" s="7"/>
      <c r="Q273" s="7">
        <v>24</v>
      </c>
      <c r="R273" s="19">
        <f t="shared" si="9"/>
        <v>18000</v>
      </c>
    </row>
    <row r="274" spans="1:18" x14ac:dyDescent="0.2">
      <c r="A274" s="5">
        <v>36</v>
      </c>
      <c r="B274" s="6">
        <v>46133</v>
      </c>
      <c r="C274" s="7" t="s">
        <v>45</v>
      </c>
      <c r="D274" s="7" t="s">
        <v>43</v>
      </c>
      <c r="E274" s="7" t="s">
        <v>31</v>
      </c>
      <c r="F274" s="6">
        <v>46157</v>
      </c>
      <c r="G274" s="7">
        <v>90</v>
      </c>
      <c r="H274" s="7">
        <v>2</v>
      </c>
      <c r="I274" s="7">
        <v>3</v>
      </c>
      <c r="J274" s="14">
        <v>-0.68</v>
      </c>
      <c r="K274" s="14">
        <v>616</v>
      </c>
      <c r="L274" s="14">
        <v>616.67999999999995</v>
      </c>
      <c r="M274" s="7" t="s">
        <v>46</v>
      </c>
      <c r="N274" s="14">
        <v>617</v>
      </c>
      <c r="O274" s="17">
        <f t="shared" si="8"/>
        <v>3.4259999999999999E-2</v>
      </c>
      <c r="P274" s="7"/>
      <c r="Q274" s="7">
        <v>24</v>
      </c>
      <c r="R274" s="19">
        <f t="shared" si="9"/>
        <v>18000</v>
      </c>
    </row>
    <row r="275" spans="1:18" x14ac:dyDescent="0.2">
      <c r="A275" s="5">
        <v>37</v>
      </c>
      <c r="B275" s="6">
        <v>46140</v>
      </c>
      <c r="C275" s="7" t="s">
        <v>38</v>
      </c>
      <c r="D275" s="7" t="s">
        <v>30</v>
      </c>
      <c r="E275" s="7" t="s">
        <v>31</v>
      </c>
      <c r="F275" s="6">
        <v>46157</v>
      </c>
      <c r="G275" s="7">
        <v>330</v>
      </c>
      <c r="H275" s="7">
        <v>1</v>
      </c>
      <c r="I275" s="7">
        <v>12</v>
      </c>
      <c r="J275" s="14">
        <v>1</v>
      </c>
      <c r="K275" s="14">
        <v>1164</v>
      </c>
      <c r="L275" s="14">
        <v>1162.92</v>
      </c>
      <c r="M275" s="7" t="s">
        <v>32</v>
      </c>
      <c r="N275" s="14">
        <v>1163</v>
      </c>
      <c r="O275" s="17">
        <f t="shared" si="8"/>
        <v>3.524E-2</v>
      </c>
      <c r="P275" s="7">
        <v>76</v>
      </c>
      <c r="Q275" s="7">
        <v>17</v>
      </c>
      <c r="R275" s="19">
        <f t="shared" si="9"/>
        <v>33000</v>
      </c>
    </row>
    <row r="276" spans="1:18" x14ac:dyDescent="0.2">
      <c r="A276" s="5">
        <v>38</v>
      </c>
      <c r="B276" s="6">
        <v>46142</v>
      </c>
      <c r="C276" s="7" t="s">
        <v>71</v>
      </c>
      <c r="D276" s="7" t="s">
        <v>30</v>
      </c>
      <c r="E276" s="7" t="s">
        <v>31</v>
      </c>
      <c r="F276" s="6">
        <v>46157</v>
      </c>
      <c r="G276" s="7">
        <v>145</v>
      </c>
      <c r="H276" s="7">
        <v>1</v>
      </c>
      <c r="I276" s="7">
        <v>4</v>
      </c>
      <c r="J276" s="14">
        <v>1</v>
      </c>
      <c r="K276" s="14">
        <v>392</v>
      </c>
      <c r="L276" s="14">
        <v>390.94</v>
      </c>
      <c r="M276" s="7" t="s">
        <v>32</v>
      </c>
      <c r="N276" s="14">
        <v>391</v>
      </c>
      <c r="O276" s="17">
        <f t="shared" si="8"/>
        <v>2.6961379310344827E-2</v>
      </c>
      <c r="P276" s="7">
        <v>66</v>
      </c>
      <c r="Q276" s="7">
        <v>15</v>
      </c>
      <c r="R276" s="19">
        <f t="shared" si="9"/>
        <v>14500</v>
      </c>
    </row>
    <row r="277" spans="1:18" x14ac:dyDescent="0.2">
      <c r="A277" s="5">
        <v>38</v>
      </c>
      <c r="B277" s="6">
        <v>46142</v>
      </c>
      <c r="C277" s="7" t="s">
        <v>71</v>
      </c>
      <c r="D277" s="7" t="s">
        <v>30</v>
      </c>
      <c r="E277" s="7" t="s">
        <v>31</v>
      </c>
      <c r="F277" s="6">
        <v>46157</v>
      </c>
      <c r="G277" s="7">
        <v>145</v>
      </c>
      <c r="H277" s="7">
        <v>1</v>
      </c>
      <c r="I277" s="7">
        <v>4</v>
      </c>
      <c r="J277" s="14">
        <v>0</v>
      </c>
      <c r="K277" s="14">
        <v>392</v>
      </c>
      <c r="L277" s="14">
        <v>391.64</v>
      </c>
      <c r="M277" s="7" t="s">
        <v>32</v>
      </c>
      <c r="N277" s="14">
        <v>392</v>
      </c>
      <c r="O277" s="17">
        <f t="shared" si="8"/>
        <v>2.7009655172413792E-2</v>
      </c>
      <c r="P277" s="7">
        <v>66</v>
      </c>
      <c r="Q277" s="7">
        <v>15</v>
      </c>
      <c r="R277" s="19">
        <f t="shared" si="9"/>
        <v>14500</v>
      </c>
    </row>
    <row r="278" spans="1:18" x14ac:dyDescent="0.2">
      <c r="A278" s="10">
        <v>39</v>
      </c>
      <c r="B278" s="11">
        <v>46147</v>
      </c>
      <c r="C278" s="10" t="s">
        <v>62</v>
      </c>
      <c r="D278" s="10" t="s">
        <v>30</v>
      </c>
      <c r="E278" s="10" t="s">
        <v>31</v>
      </c>
      <c r="F278" s="11">
        <v>46157</v>
      </c>
      <c r="G278" s="10">
        <v>30</v>
      </c>
      <c r="H278" s="10">
        <v>2</v>
      </c>
      <c r="I278" s="10">
        <v>2</v>
      </c>
      <c r="J278" s="16">
        <v>1</v>
      </c>
      <c r="K278" s="16">
        <v>498</v>
      </c>
      <c r="L278" s="16">
        <v>496.59</v>
      </c>
      <c r="M278" s="10" t="s">
        <v>46</v>
      </c>
      <c r="N278" s="16">
        <v>497</v>
      </c>
      <c r="O278" s="17">
        <f t="shared" si="8"/>
        <v>8.2764999999999991E-2</v>
      </c>
      <c r="P278" s="10">
        <v>303</v>
      </c>
      <c r="Q278" s="10">
        <v>10</v>
      </c>
      <c r="R278" s="19">
        <f t="shared" si="9"/>
        <v>6000</v>
      </c>
    </row>
    <row r="279" spans="1:18" x14ac:dyDescent="0.2">
      <c r="A279" s="10">
        <v>39</v>
      </c>
      <c r="B279" s="11">
        <v>46147</v>
      </c>
      <c r="C279" s="10" t="s">
        <v>62</v>
      </c>
      <c r="D279" s="10" t="s">
        <v>30</v>
      </c>
      <c r="E279" s="10" t="s">
        <v>31</v>
      </c>
      <c r="F279" s="11">
        <v>46157</v>
      </c>
      <c r="G279" s="10">
        <v>30</v>
      </c>
      <c r="H279" s="10">
        <v>2</v>
      </c>
      <c r="I279" s="10">
        <v>2</v>
      </c>
      <c r="J279" s="16">
        <v>1</v>
      </c>
      <c r="K279" s="16">
        <v>498</v>
      </c>
      <c r="L279" s="16">
        <v>496.59</v>
      </c>
      <c r="M279" s="10" t="s">
        <v>46</v>
      </c>
      <c r="N279" s="16">
        <v>497</v>
      </c>
      <c r="O279" s="17">
        <f t="shared" si="8"/>
        <v>8.2764999999999991E-2</v>
      </c>
      <c r="P279" s="10">
        <v>303</v>
      </c>
      <c r="Q279" s="10">
        <v>10</v>
      </c>
      <c r="R279" s="19">
        <f t="shared" si="9"/>
        <v>6000</v>
      </c>
    </row>
    <row r="280" spans="1:18" x14ac:dyDescent="0.2">
      <c r="A280" s="10">
        <v>40</v>
      </c>
      <c r="B280" s="11">
        <v>46150</v>
      </c>
      <c r="C280" s="10" t="s">
        <v>52</v>
      </c>
      <c r="D280" s="10" t="s">
        <v>30</v>
      </c>
      <c r="E280" s="10" t="s">
        <v>31</v>
      </c>
      <c r="F280" s="11">
        <v>46157</v>
      </c>
      <c r="G280" s="10">
        <v>180</v>
      </c>
      <c r="H280" s="10">
        <v>1</v>
      </c>
      <c r="I280" s="10">
        <v>6</v>
      </c>
      <c r="J280" s="16">
        <v>1</v>
      </c>
      <c r="K280" s="16">
        <v>597</v>
      </c>
      <c r="L280" s="16">
        <v>595.94000000000005</v>
      </c>
      <c r="M280" s="10" t="s">
        <v>46</v>
      </c>
      <c r="N280" s="16">
        <v>596</v>
      </c>
      <c r="O280" s="17">
        <f t="shared" si="8"/>
        <v>3.3107777777777778E-2</v>
      </c>
      <c r="P280" s="10">
        <v>173</v>
      </c>
      <c r="Q280" s="10">
        <v>7</v>
      </c>
      <c r="R280" s="19">
        <f t="shared" si="9"/>
        <v>18000</v>
      </c>
    </row>
    <row r="281" spans="1:18" x14ac:dyDescent="0.2">
      <c r="A281" s="5"/>
      <c r="B281" s="6">
        <v>46153</v>
      </c>
      <c r="C281" s="7" t="s">
        <v>62</v>
      </c>
      <c r="D281" s="7" t="s">
        <v>2</v>
      </c>
      <c r="E281" s="7" t="s">
        <v>24</v>
      </c>
      <c r="F281" s="7"/>
      <c r="G281" s="7"/>
      <c r="H281" s="7">
        <v>200</v>
      </c>
      <c r="I281" s="7">
        <v>30</v>
      </c>
      <c r="J281" s="14">
        <v>0</v>
      </c>
      <c r="K281" s="14">
        <v>-6000</v>
      </c>
      <c r="L281" s="14">
        <v>-6000</v>
      </c>
      <c r="M281" s="7" t="s">
        <v>46</v>
      </c>
      <c r="N281" s="14"/>
      <c r="O281" s="17" t="str">
        <f t="shared" si="8"/>
        <v/>
      </c>
      <c r="P281" s="7"/>
      <c r="Q281" s="7"/>
      <c r="R281" s="19">
        <f t="shared" si="9"/>
        <v>0</v>
      </c>
    </row>
    <row r="282" spans="1:18" x14ac:dyDescent="0.2">
      <c r="A282" s="5"/>
      <c r="B282" s="6">
        <v>46154</v>
      </c>
      <c r="C282" s="7" t="s">
        <v>62</v>
      </c>
      <c r="D282" s="7" t="s">
        <v>2</v>
      </c>
      <c r="E282" s="7" t="s">
        <v>24</v>
      </c>
      <c r="F282" s="7"/>
      <c r="G282" s="7"/>
      <c r="H282" s="7">
        <v>100</v>
      </c>
      <c r="I282" s="7">
        <v>30</v>
      </c>
      <c r="J282" s="14">
        <v>0</v>
      </c>
      <c r="K282" s="14">
        <v>-3000</v>
      </c>
      <c r="L282" s="14">
        <v>-3000</v>
      </c>
      <c r="M282" s="7" t="s">
        <v>46</v>
      </c>
      <c r="N282" s="14"/>
      <c r="O282" s="17" t="str">
        <f t="shared" si="8"/>
        <v/>
      </c>
      <c r="P282" s="7"/>
      <c r="Q282" s="7"/>
      <c r="R282" s="19">
        <f t="shared" si="9"/>
        <v>0</v>
      </c>
    </row>
    <row r="283" spans="1:18" x14ac:dyDescent="0.2">
      <c r="A283" s="10">
        <v>41</v>
      </c>
      <c r="B283" s="11">
        <v>46154</v>
      </c>
      <c r="C283" s="10" t="s">
        <v>62</v>
      </c>
      <c r="D283" s="10" t="s">
        <v>43</v>
      </c>
      <c r="E283" s="10" t="s">
        <v>31</v>
      </c>
      <c r="F283" s="11">
        <v>46191</v>
      </c>
      <c r="G283" s="10">
        <v>30</v>
      </c>
      <c r="H283" s="10">
        <v>2</v>
      </c>
      <c r="I283" s="10">
        <v>0</v>
      </c>
      <c r="J283" s="16">
        <v>-0.6</v>
      </c>
      <c r="K283" s="16">
        <v>50</v>
      </c>
      <c r="L283" s="16">
        <v>50.6</v>
      </c>
      <c r="M283" s="10" t="s">
        <v>32</v>
      </c>
      <c r="N283" s="16">
        <v>51</v>
      </c>
      <c r="O283" s="17">
        <f t="shared" si="8"/>
        <v>8.4333333333333343E-3</v>
      </c>
      <c r="Q283" s="10">
        <v>37</v>
      </c>
      <c r="R283" s="19">
        <f t="shared" si="9"/>
        <v>6000</v>
      </c>
    </row>
    <row r="284" spans="1:18" x14ac:dyDescent="0.2">
      <c r="A284" s="10">
        <v>42</v>
      </c>
      <c r="B284" s="11">
        <v>46156</v>
      </c>
      <c r="C284" s="10" t="s">
        <v>62</v>
      </c>
      <c r="D284" s="10" t="s">
        <v>43</v>
      </c>
      <c r="E284" s="10" t="s">
        <v>31</v>
      </c>
      <c r="F284" s="11">
        <v>46283</v>
      </c>
      <c r="G284" s="10">
        <v>30</v>
      </c>
      <c r="H284" s="10">
        <v>1</v>
      </c>
      <c r="I284" s="10">
        <v>1</v>
      </c>
      <c r="J284" s="16">
        <v>1</v>
      </c>
      <c r="K284" s="16">
        <v>114</v>
      </c>
      <c r="L284" s="16">
        <v>112.94</v>
      </c>
      <c r="M284" s="10" t="s">
        <v>69</v>
      </c>
      <c r="N284" s="16">
        <v>113</v>
      </c>
      <c r="O284" s="17">
        <f t="shared" si="8"/>
        <v>3.7646666666666669E-2</v>
      </c>
      <c r="Q284" s="10">
        <v>127</v>
      </c>
      <c r="R284" s="19">
        <f t="shared" si="9"/>
        <v>3000</v>
      </c>
    </row>
    <row r="285" spans="1:18" x14ac:dyDescent="0.2">
      <c r="A285" s="5"/>
      <c r="B285" s="6">
        <v>46157</v>
      </c>
      <c r="C285" s="7" t="s">
        <v>52</v>
      </c>
      <c r="D285" s="7" t="s">
        <v>2</v>
      </c>
      <c r="E285" s="7" t="s">
        <v>24</v>
      </c>
      <c r="F285" s="7"/>
      <c r="G285" s="7"/>
      <c r="H285" s="7">
        <v>100</v>
      </c>
      <c r="I285" s="7">
        <v>180</v>
      </c>
      <c r="J285" s="14">
        <v>0</v>
      </c>
      <c r="K285" s="14">
        <v>-18000</v>
      </c>
      <c r="L285" s="14">
        <v>-18000</v>
      </c>
      <c r="M285" s="7" t="s">
        <v>25</v>
      </c>
      <c r="N285" s="14"/>
      <c r="O285" s="17" t="str">
        <f t="shared" si="8"/>
        <v/>
      </c>
      <c r="P285" s="7"/>
      <c r="Q285" s="7"/>
      <c r="R285" s="19">
        <f t="shared" si="9"/>
        <v>0</v>
      </c>
    </row>
    <row r="286" spans="1:18" x14ac:dyDescent="0.2">
      <c r="A286" s="5"/>
      <c r="B286" s="6">
        <v>46157</v>
      </c>
      <c r="C286" s="7" t="s">
        <v>45</v>
      </c>
      <c r="D286" s="7" t="s">
        <v>2</v>
      </c>
      <c r="E286" s="7" t="s">
        <v>18</v>
      </c>
      <c r="F286" s="7"/>
      <c r="G286" s="7"/>
      <c r="H286" s="7">
        <v>200</v>
      </c>
      <c r="I286" s="7">
        <v>90</v>
      </c>
      <c r="J286" s="14">
        <v>0</v>
      </c>
      <c r="K286" s="14">
        <v>18000</v>
      </c>
      <c r="L286" s="14">
        <v>17999.59</v>
      </c>
      <c r="M286" s="7" t="s">
        <v>18</v>
      </c>
      <c r="N286" s="14"/>
      <c r="O286" s="17" t="str">
        <f t="shared" si="8"/>
        <v/>
      </c>
      <c r="P286" s="7"/>
      <c r="Q286" s="7"/>
      <c r="R286" s="19">
        <f t="shared" si="9"/>
        <v>0</v>
      </c>
    </row>
    <row r="287" spans="1:18" x14ac:dyDescent="0.2">
      <c r="A287" s="5"/>
      <c r="B287" s="6">
        <v>46157</v>
      </c>
      <c r="C287" s="7" t="s">
        <v>62</v>
      </c>
      <c r="D287" s="7" t="s">
        <v>2</v>
      </c>
      <c r="E287" s="7" t="s">
        <v>24</v>
      </c>
      <c r="F287" s="7"/>
      <c r="G287" s="7"/>
      <c r="H287" s="7">
        <v>100</v>
      </c>
      <c r="I287" s="7">
        <v>30</v>
      </c>
      <c r="J287" s="14">
        <v>0</v>
      </c>
      <c r="K287" s="14">
        <v>-3000</v>
      </c>
      <c r="L287" s="14">
        <v>-3000</v>
      </c>
      <c r="M287" s="7" t="s">
        <v>46</v>
      </c>
      <c r="N287" s="14"/>
      <c r="O287" s="17" t="str">
        <f t="shared" si="8"/>
        <v/>
      </c>
      <c r="P287" s="7"/>
      <c r="Q287" s="7"/>
      <c r="R287" s="19">
        <f t="shared" si="9"/>
        <v>0</v>
      </c>
    </row>
    <row r="288" spans="1:18" x14ac:dyDescent="0.2">
      <c r="A288" s="5"/>
      <c r="B288" s="6">
        <v>46157</v>
      </c>
      <c r="C288" s="7" t="s">
        <v>63</v>
      </c>
      <c r="D288" s="7" t="s">
        <v>2</v>
      </c>
      <c r="E288" s="7" t="s">
        <v>24</v>
      </c>
      <c r="F288" s="7"/>
      <c r="G288" s="7"/>
      <c r="H288" s="7">
        <v>400</v>
      </c>
      <c r="I288" s="7">
        <v>63</v>
      </c>
      <c r="J288" s="14">
        <v>0</v>
      </c>
      <c r="K288" s="14">
        <v>-25000</v>
      </c>
      <c r="L288" s="14">
        <v>-25000</v>
      </c>
      <c r="M288" s="7" t="s">
        <v>46</v>
      </c>
      <c r="N288" s="14"/>
      <c r="O288" s="17" t="str">
        <f t="shared" si="8"/>
        <v/>
      </c>
      <c r="P288" s="7"/>
      <c r="Q288" s="7"/>
      <c r="R288" s="19">
        <f t="shared" si="9"/>
        <v>0</v>
      </c>
    </row>
    <row r="289" spans="1:18" x14ac:dyDescent="0.2">
      <c r="A289" s="10">
        <v>43</v>
      </c>
      <c r="B289" s="11">
        <v>46160</v>
      </c>
      <c r="C289" s="10" t="s">
        <v>94</v>
      </c>
      <c r="D289" s="10" t="s">
        <v>30</v>
      </c>
      <c r="E289" s="10" t="s">
        <v>31</v>
      </c>
      <c r="F289" s="11">
        <v>46191</v>
      </c>
      <c r="G289" s="10">
        <v>215</v>
      </c>
      <c r="H289" s="10">
        <v>1</v>
      </c>
      <c r="I289" s="10">
        <v>1</v>
      </c>
      <c r="J289" s="16">
        <v>1</v>
      </c>
      <c r="K289" s="16">
        <v>126</v>
      </c>
      <c r="L289" s="16">
        <v>124.94</v>
      </c>
      <c r="M289" s="10" t="s">
        <v>32</v>
      </c>
      <c r="N289" s="16">
        <v>125</v>
      </c>
      <c r="O289" s="17">
        <f t="shared" si="8"/>
        <v>5.8111627906976739E-3</v>
      </c>
      <c r="P289" s="10">
        <v>7</v>
      </c>
      <c r="Q289" s="10">
        <v>31</v>
      </c>
      <c r="R289" s="19">
        <f t="shared" si="9"/>
        <v>21500</v>
      </c>
    </row>
    <row r="290" spans="1:18" x14ac:dyDescent="0.2">
      <c r="A290" s="10">
        <v>43</v>
      </c>
      <c r="B290" s="11">
        <v>46160</v>
      </c>
      <c r="C290" s="10" t="s">
        <v>94</v>
      </c>
      <c r="D290" s="10" t="s">
        <v>30</v>
      </c>
      <c r="E290" s="10" t="s">
        <v>31</v>
      </c>
      <c r="F290" s="11">
        <v>46191</v>
      </c>
      <c r="G290" s="10">
        <v>215</v>
      </c>
      <c r="H290" s="10">
        <v>1</v>
      </c>
      <c r="I290" s="10">
        <v>1</v>
      </c>
      <c r="J290" s="16">
        <v>0</v>
      </c>
      <c r="K290" s="16">
        <v>126</v>
      </c>
      <c r="L290" s="16">
        <v>125.64</v>
      </c>
      <c r="M290" s="10" t="s">
        <v>32</v>
      </c>
      <c r="N290" s="16">
        <v>126</v>
      </c>
      <c r="O290" s="17">
        <f t="shared" si="8"/>
        <v>5.8437209302325578E-3</v>
      </c>
      <c r="P290" s="10">
        <v>7</v>
      </c>
      <c r="Q290" s="10">
        <v>31</v>
      </c>
      <c r="R290" s="19">
        <f t="shared" si="9"/>
        <v>21500</v>
      </c>
    </row>
    <row r="291" spans="1:18" x14ac:dyDescent="0.2">
      <c r="A291" s="10">
        <v>43</v>
      </c>
      <c r="B291" s="11">
        <v>46160</v>
      </c>
      <c r="C291" s="10" t="s">
        <v>71</v>
      </c>
      <c r="D291" s="10" t="s">
        <v>30</v>
      </c>
      <c r="E291" s="10" t="s">
        <v>31</v>
      </c>
      <c r="F291" s="11">
        <v>46191</v>
      </c>
      <c r="G291" s="10">
        <v>135</v>
      </c>
      <c r="H291" s="10">
        <v>1</v>
      </c>
      <c r="I291" s="10">
        <v>2</v>
      </c>
      <c r="J291" s="16">
        <v>1</v>
      </c>
      <c r="K291" s="16">
        <v>231</v>
      </c>
      <c r="L291" s="16">
        <v>229.94</v>
      </c>
      <c r="M291" s="10" t="s">
        <v>32</v>
      </c>
      <c r="N291" s="16">
        <v>230</v>
      </c>
      <c r="O291" s="17">
        <f t="shared" si="8"/>
        <v>1.7032592592592592E-2</v>
      </c>
      <c r="P291" s="10">
        <v>20</v>
      </c>
      <c r="Q291" s="10">
        <v>31</v>
      </c>
      <c r="R291" s="19">
        <f t="shared" si="9"/>
        <v>13500</v>
      </c>
    </row>
    <row r="292" spans="1:18" x14ac:dyDescent="0.2">
      <c r="A292" s="10">
        <v>43</v>
      </c>
      <c r="B292" s="11">
        <v>46160</v>
      </c>
      <c r="C292" s="10" t="s">
        <v>71</v>
      </c>
      <c r="D292" s="10" t="s">
        <v>30</v>
      </c>
      <c r="E292" s="10" t="s">
        <v>31</v>
      </c>
      <c r="F292" s="11">
        <v>46191</v>
      </c>
      <c r="G292" s="10">
        <v>135</v>
      </c>
      <c r="H292" s="10">
        <v>1</v>
      </c>
      <c r="I292" s="10">
        <v>2</v>
      </c>
      <c r="J292" s="16">
        <v>0</v>
      </c>
      <c r="K292" s="16">
        <v>231</v>
      </c>
      <c r="L292" s="16">
        <v>230.64</v>
      </c>
      <c r="M292" s="10" t="s">
        <v>32</v>
      </c>
      <c r="N292" s="16">
        <v>231</v>
      </c>
      <c r="O292" s="17">
        <f t="shared" si="8"/>
        <v>1.7084444444444444E-2</v>
      </c>
      <c r="P292" s="10">
        <v>20</v>
      </c>
      <c r="Q292" s="10">
        <v>31</v>
      </c>
      <c r="R292" s="19">
        <f t="shared" si="9"/>
        <v>13500</v>
      </c>
    </row>
    <row r="293" spans="1:18" x14ac:dyDescent="0.2">
      <c r="A293" s="10">
        <v>43</v>
      </c>
      <c r="B293" s="11">
        <v>46160</v>
      </c>
      <c r="C293" s="10" t="s">
        <v>78</v>
      </c>
      <c r="D293" s="10" t="s">
        <v>30</v>
      </c>
      <c r="E293" s="10" t="s">
        <v>31</v>
      </c>
      <c r="F293" s="11">
        <v>46191</v>
      </c>
      <c r="G293" s="10">
        <v>195</v>
      </c>
      <c r="H293" s="10">
        <v>1</v>
      </c>
      <c r="I293" s="10">
        <v>4</v>
      </c>
      <c r="J293" s="16">
        <v>1</v>
      </c>
      <c r="K293" s="16">
        <v>352</v>
      </c>
      <c r="L293" s="16">
        <v>350.94</v>
      </c>
      <c r="M293" s="10" t="s">
        <v>32</v>
      </c>
      <c r="N293" s="16">
        <v>351</v>
      </c>
      <c r="O293" s="17">
        <f t="shared" si="8"/>
        <v>1.7996923076923077E-2</v>
      </c>
      <c r="P293" s="10">
        <v>21</v>
      </c>
      <c r="Q293" s="10">
        <v>31</v>
      </c>
      <c r="R293" s="19">
        <f t="shared" si="9"/>
        <v>19500</v>
      </c>
    </row>
    <row r="294" spans="1:18" x14ac:dyDescent="0.2">
      <c r="A294" s="10">
        <v>43</v>
      </c>
      <c r="B294" s="11">
        <v>46160</v>
      </c>
      <c r="C294" s="10" t="s">
        <v>78</v>
      </c>
      <c r="D294" s="10" t="s">
        <v>30</v>
      </c>
      <c r="E294" s="10" t="s">
        <v>31</v>
      </c>
      <c r="F294" s="11">
        <v>46191</v>
      </c>
      <c r="G294" s="10">
        <v>195</v>
      </c>
      <c r="H294" s="10">
        <v>1</v>
      </c>
      <c r="I294" s="10">
        <v>4</v>
      </c>
      <c r="J294" s="16">
        <v>0</v>
      </c>
      <c r="K294" s="16">
        <v>352</v>
      </c>
      <c r="L294" s="16">
        <v>351.64</v>
      </c>
      <c r="M294" s="10" t="s">
        <v>32</v>
      </c>
      <c r="N294" s="16">
        <v>352</v>
      </c>
      <c r="O294" s="17">
        <f t="shared" si="8"/>
        <v>1.8032820512820513E-2</v>
      </c>
      <c r="P294" s="10">
        <v>21</v>
      </c>
      <c r="Q294" s="10">
        <v>31</v>
      </c>
      <c r="R294" s="19">
        <f t="shared" si="9"/>
        <v>19500</v>
      </c>
    </row>
    <row r="295" spans="1:18" x14ac:dyDescent="0.2">
      <c r="A295" s="10">
        <v>43</v>
      </c>
      <c r="B295" s="11">
        <v>46160</v>
      </c>
      <c r="C295" s="10" t="s">
        <v>39</v>
      </c>
      <c r="D295" s="10" t="s">
        <v>30</v>
      </c>
      <c r="E295" s="10" t="s">
        <v>31</v>
      </c>
      <c r="F295" s="11">
        <v>46164</v>
      </c>
      <c r="G295" s="10">
        <v>640</v>
      </c>
      <c r="H295" s="10">
        <v>2</v>
      </c>
      <c r="I295" s="10">
        <v>11</v>
      </c>
      <c r="J295" s="16">
        <v>1</v>
      </c>
      <c r="K295" s="16">
        <v>2262</v>
      </c>
      <c r="L295" s="16">
        <v>2260.5500000000002</v>
      </c>
      <c r="M295" s="10" t="s">
        <v>32</v>
      </c>
      <c r="N295" s="16">
        <v>2261</v>
      </c>
      <c r="O295" s="17">
        <f t="shared" si="8"/>
        <v>1.7660546875000002E-2</v>
      </c>
      <c r="P295" s="10">
        <v>161</v>
      </c>
      <c r="Q295" s="10">
        <v>4</v>
      </c>
      <c r="R295" s="19">
        <f t="shared" si="9"/>
        <v>128000</v>
      </c>
    </row>
    <row r="296" spans="1:18" x14ac:dyDescent="0.2">
      <c r="A296" s="10">
        <v>43</v>
      </c>
      <c r="B296" s="11">
        <v>46160</v>
      </c>
      <c r="C296" s="10" t="s">
        <v>52</v>
      </c>
      <c r="D296" s="10" t="s">
        <v>43</v>
      </c>
      <c r="E296" s="10" t="s">
        <v>31</v>
      </c>
      <c r="F296" s="11">
        <v>46191</v>
      </c>
      <c r="G296" s="10">
        <v>180</v>
      </c>
      <c r="H296" s="10">
        <v>1</v>
      </c>
      <c r="I296" s="10">
        <v>12</v>
      </c>
      <c r="J296" s="16">
        <v>0</v>
      </c>
      <c r="K296" s="16">
        <v>1200</v>
      </c>
      <c r="L296" s="16">
        <v>1199.92</v>
      </c>
      <c r="M296" s="10" t="s">
        <v>46</v>
      </c>
      <c r="N296" s="16">
        <v>12</v>
      </c>
      <c r="O296" s="17">
        <f t="shared" si="8"/>
        <v>6.666222222222222E-2</v>
      </c>
      <c r="Q296" s="10">
        <v>31</v>
      </c>
      <c r="R296" s="19">
        <f t="shared" si="9"/>
        <v>18000</v>
      </c>
    </row>
    <row r="297" spans="1:18" x14ac:dyDescent="0.2">
      <c r="A297" s="10">
        <v>43</v>
      </c>
      <c r="B297" s="11">
        <v>46160</v>
      </c>
      <c r="C297" s="10" t="s">
        <v>62</v>
      </c>
      <c r="D297" s="10" t="s">
        <v>43</v>
      </c>
      <c r="E297" s="10" t="s">
        <v>31</v>
      </c>
      <c r="F297" s="11">
        <v>46283</v>
      </c>
      <c r="G297" s="10">
        <v>30</v>
      </c>
      <c r="H297" s="10">
        <v>1</v>
      </c>
      <c r="I297" s="10">
        <v>1</v>
      </c>
      <c r="J297" s="16">
        <v>1</v>
      </c>
      <c r="K297" s="16">
        <v>84</v>
      </c>
      <c r="L297" s="16">
        <v>82.95</v>
      </c>
      <c r="M297" s="10" t="s">
        <v>69</v>
      </c>
      <c r="N297" s="16">
        <v>83</v>
      </c>
      <c r="O297" s="17">
        <f t="shared" si="8"/>
        <v>2.7650000000000001E-2</v>
      </c>
      <c r="Q297" s="10">
        <v>123</v>
      </c>
      <c r="R297" s="19">
        <f t="shared" si="9"/>
        <v>3000</v>
      </c>
    </row>
    <row r="298" spans="1:18" x14ac:dyDescent="0.2">
      <c r="A298" s="10">
        <v>44</v>
      </c>
      <c r="B298" s="11">
        <v>46168</v>
      </c>
      <c r="C298" s="10" t="s">
        <v>39</v>
      </c>
      <c r="D298" s="10" t="s">
        <v>30</v>
      </c>
      <c r="E298" s="10" t="s">
        <v>31</v>
      </c>
      <c r="F298" s="11">
        <v>46191</v>
      </c>
      <c r="G298" s="10">
        <v>745</v>
      </c>
      <c r="H298" s="10">
        <v>1</v>
      </c>
      <c r="I298" s="10">
        <v>27</v>
      </c>
      <c r="J298" s="16">
        <v>1</v>
      </c>
      <c r="K298" s="16">
        <v>2741</v>
      </c>
      <c r="L298" s="16">
        <v>2739.89</v>
      </c>
      <c r="M298" s="10" t="s">
        <v>32</v>
      </c>
      <c r="N298" s="16">
        <v>274</v>
      </c>
      <c r="O298" s="17">
        <f t="shared" si="8"/>
        <v>3.6777046979865773E-2</v>
      </c>
      <c r="P298" s="10">
        <v>58</v>
      </c>
      <c r="Q298" s="10">
        <v>23</v>
      </c>
      <c r="R298" s="19">
        <f t="shared" si="9"/>
        <v>74500</v>
      </c>
    </row>
    <row r="299" spans="1:18" x14ac:dyDescent="0.2">
      <c r="A299" s="10">
        <v>44</v>
      </c>
      <c r="B299" s="11">
        <v>46168</v>
      </c>
      <c r="C299" s="10" t="s">
        <v>39</v>
      </c>
      <c r="D299" s="10" t="s">
        <v>30</v>
      </c>
      <c r="E299" s="10" t="s">
        <v>31</v>
      </c>
      <c r="F299" s="11">
        <v>46191</v>
      </c>
      <c r="G299" s="10">
        <v>745</v>
      </c>
      <c r="H299" s="10">
        <v>1</v>
      </c>
      <c r="I299" s="10">
        <v>27</v>
      </c>
      <c r="J299" s="16">
        <v>0</v>
      </c>
      <c r="K299" s="16">
        <v>2741</v>
      </c>
      <c r="L299" s="16">
        <v>2740.59</v>
      </c>
      <c r="M299" s="10" t="s">
        <v>32</v>
      </c>
      <c r="N299" s="16">
        <v>2741</v>
      </c>
      <c r="O299" s="17">
        <f t="shared" si="8"/>
        <v>3.6786442953020138E-2</v>
      </c>
      <c r="P299" s="10">
        <v>58</v>
      </c>
      <c r="Q299" s="10">
        <v>23</v>
      </c>
      <c r="R299" s="19">
        <f t="shared" si="9"/>
        <v>74500</v>
      </c>
    </row>
    <row r="300" spans="1:18" x14ac:dyDescent="0.2">
      <c r="A300" s="10">
        <v>44</v>
      </c>
      <c r="B300" s="11">
        <v>46168</v>
      </c>
      <c r="C300" s="10" t="s">
        <v>39</v>
      </c>
      <c r="D300" s="10" t="s">
        <v>30</v>
      </c>
      <c r="E300" s="10" t="s">
        <v>32</v>
      </c>
      <c r="F300" s="11">
        <v>46164</v>
      </c>
      <c r="G300" s="10">
        <v>640</v>
      </c>
      <c r="H300" s="10">
        <v>2</v>
      </c>
      <c r="I300" s="10">
        <v>0</v>
      </c>
      <c r="J300" s="16">
        <v>0</v>
      </c>
      <c r="K300" s="16">
        <v>0</v>
      </c>
      <c r="L300" s="16">
        <v>0</v>
      </c>
      <c r="M300" s="10" t="s">
        <v>32</v>
      </c>
      <c r="N300" s="16">
        <v>0</v>
      </c>
      <c r="O300" s="17">
        <f t="shared" si="8"/>
        <v>0</v>
      </c>
      <c r="Q300" s="10" t="s">
        <v>95</v>
      </c>
      <c r="R300" s="19">
        <f t="shared" si="9"/>
        <v>128000</v>
      </c>
    </row>
    <row r="301" spans="1:18" x14ac:dyDescent="0.2">
      <c r="A301" s="10">
        <v>45</v>
      </c>
      <c r="B301" s="11">
        <v>46175</v>
      </c>
      <c r="C301" s="10" t="s">
        <v>38</v>
      </c>
      <c r="D301" s="10" t="s">
        <v>30</v>
      </c>
      <c r="E301" s="10" t="s">
        <v>31</v>
      </c>
      <c r="F301" s="11">
        <v>46191</v>
      </c>
      <c r="G301" s="10">
        <v>395</v>
      </c>
      <c r="H301" s="10">
        <v>1</v>
      </c>
      <c r="I301" s="10">
        <v>8</v>
      </c>
      <c r="J301" s="16">
        <v>1</v>
      </c>
      <c r="K301" s="16">
        <v>774</v>
      </c>
      <c r="L301" s="16">
        <v>772.93</v>
      </c>
      <c r="M301" s="10" t="s">
        <v>46</v>
      </c>
      <c r="N301" s="16">
        <v>773</v>
      </c>
      <c r="O301" s="17">
        <f t="shared" si="8"/>
        <v>1.9567848101265821E-2</v>
      </c>
      <c r="P301" s="10">
        <v>45</v>
      </c>
      <c r="Q301" s="10">
        <v>16</v>
      </c>
      <c r="R301" s="19">
        <f t="shared" si="9"/>
        <v>39500</v>
      </c>
    </row>
    <row r="302" spans="1:18" x14ac:dyDescent="0.2">
      <c r="A302" s="5"/>
      <c r="B302" s="6">
        <v>46191</v>
      </c>
      <c r="C302" s="7" t="s">
        <v>52</v>
      </c>
      <c r="D302" s="7" t="s">
        <v>2</v>
      </c>
      <c r="E302" s="7" t="s">
        <v>18</v>
      </c>
      <c r="F302" s="7"/>
      <c r="G302" s="7"/>
      <c r="H302" s="7">
        <v>100</v>
      </c>
      <c r="I302" s="7">
        <v>180</v>
      </c>
      <c r="J302" s="14">
        <v>0</v>
      </c>
      <c r="K302" s="14">
        <v>18000</v>
      </c>
      <c r="L302" s="14">
        <v>17999.61</v>
      </c>
      <c r="M302" s="7" t="s">
        <v>18</v>
      </c>
      <c r="N302" s="14"/>
      <c r="O302" s="17" t="str">
        <f t="shared" si="8"/>
        <v/>
      </c>
      <c r="P302" s="7"/>
      <c r="Q302" s="7"/>
      <c r="R302" s="19">
        <f t="shared" si="9"/>
        <v>0</v>
      </c>
    </row>
    <row r="303" spans="1:18" x14ac:dyDescent="0.2">
      <c r="A303" s="5"/>
      <c r="B303" s="6">
        <v>46191</v>
      </c>
      <c r="C303" s="7" t="s">
        <v>38</v>
      </c>
      <c r="D303" s="7" t="s">
        <v>2</v>
      </c>
      <c r="E303" s="7" t="s">
        <v>24</v>
      </c>
      <c r="F303" s="7"/>
      <c r="G303" s="7"/>
      <c r="H303" s="7">
        <v>100</v>
      </c>
      <c r="I303" s="7">
        <v>395</v>
      </c>
      <c r="J303" s="14">
        <v>0</v>
      </c>
      <c r="K303" s="14">
        <v>-39500</v>
      </c>
      <c r="L303" s="14">
        <v>-39500</v>
      </c>
      <c r="M303" s="7" t="s">
        <v>46</v>
      </c>
      <c r="N303" s="14"/>
      <c r="O303" s="17" t="str">
        <f t="shared" si="8"/>
        <v/>
      </c>
      <c r="P303" s="7"/>
      <c r="Q303" s="7"/>
      <c r="R303" s="19">
        <f t="shared" si="9"/>
        <v>0</v>
      </c>
    </row>
    <row r="304" spans="1:18" x14ac:dyDescent="0.2">
      <c r="A304" s="10">
        <v>46</v>
      </c>
      <c r="B304" s="11">
        <v>46191</v>
      </c>
      <c r="C304" s="10" t="s">
        <v>41</v>
      </c>
      <c r="D304" s="10" t="s">
        <v>43</v>
      </c>
      <c r="E304" s="10" t="s">
        <v>31</v>
      </c>
      <c r="F304" s="11">
        <v>46199</v>
      </c>
      <c r="G304" s="10">
        <v>95</v>
      </c>
      <c r="H304" s="10">
        <v>2</v>
      </c>
      <c r="I304" s="10">
        <v>1</v>
      </c>
      <c r="J304" s="16">
        <v>1</v>
      </c>
      <c r="K304" s="16">
        <v>262</v>
      </c>
      <c r="L304" s="16">
        <v>260.94</v>
      </c>
      <c r="M304" s="10" t="s">
        <v>32</v>
      </c>
      <c r="N304" s="16">
        <v>261</v>
      </c>
      <c r="O304" s="17">
        <f t="shared" si="8"/>
        <v>1.3733684210526316E-2</v>
      </c>
      <c r="Q304" s="10">
        <v>8</v>
      </c>
      <c r="R304" s="19">
        <f t="shared" si="9"/>
        <v>19000</v>
      </c>
    </row>
    <row r="305" spans="1:18" x14ac:dyDescent="0.2">
      <c r="A305" s="10">
        <v>46</v>
      </c>
      <c r="B305" s="11">
        <v>46191</v>
      </c>
      <c r="C305" s="10" t="s">
        <v>41</v>
      </c>
      <c r="D305" s="10" t="s">
        <v>43</v>
      </c>
      <c r="E305" s="10" t="s">
        <v>31</v>
      </c>
      <c r="F305" s="11">
        <v>46199</v>
      </c>
      <c r="G305" s="10">
        <v>95</v>
      </c>
      <c r="H305" s="10">
        <v>1</v>
      </c>
      <c r="I305" s="10">
        <v>1</v>
      </c>
      <c r="J305" s="16">
        <v>1</v>
      </c>
      <c r="K305" s="16">
        <v>131</v>
      </c>
      <c r="L305" s="16">
        <v>129.94999999999999</v>
      </c>
      <c r="M305" s="10" t="s">
        <v>32</v>
      </c>
      <c r="N305" s="16">
        <v>130</v>
      </c>
      <c r="O305" s="17">
        <f t="shared" si="8"/>
        <v>1.3678947368421051E-2</v>
      </c>
      <c r="Q305" s="10">
        <v>8</v>
      </c>
      <c r="R305" s="19">
        <f t="shared" si="9"/>
        <v>9500</v>
      </c>
    </row>
    <row r="306" spans="1:18" x14ac:dyDescent="0.2">
      <c r="A306" s="10">
        <v>47</v>
      </c>
      <c r="B306" s="11">
        <v>46195</v>
      </c>
      <c r="C306" s="10" t="s">
        <v>35</v>
      </c>
      <c r="D306" s="10" t="s">
        <v>30</v>
      </c>
      <c r="E306" s="10" t="s">
        <v>31</v>
      </c>
      <c r="F306" s="11">
        <v>46199</v>
      </c>
      <c r="G306" s="10">
        <v>750</v>
      </c>
      <c r="H306" s="10">
        <v>1</v>
      </c>
      <c r="I306" s="10">
        <v>8</v>
      </c>
      <c r="J306" s="16">
        <v>1</v>
      </c>
      <c r="K306" s="16">
        <v>832</v>
      </c>
      <c r="L306" s="16">
        <v>830.93</v>
      </c>
      <c r="M306" s="10" t="s">
        <v>32</v>
      </c>
      <c r="N306" s="16">
        <v>831</v>
      </c>
      <c r="O306" s="17">
        <f t="shared" si="8"/>
        <v>1.1079066666666667E-2</v>
      </c>
      <c r="P306" s="10">
        <v>101</v>
      </c>
      <c r="Q306" s="10">
        <v>4</v>
      </c>
      <c r="R306" s="19">
        <f t="shared" si="9"/>
        <v>75000</v>
      </c>
    </row>
    <row r="307" spans="1:18" x14ac:dyDescent="0.2">
      <c r="A307" s="10">
        <v>47</v>
      </c>
      <c r="B307" s="11">
        <v>46195</v>
      </c>
      <c r="C307" s="10" t="s">
        <v>39</v>
      </c>
      <c r="D307" s="10" t="s">
        <v>30</v>
      </c>
      <c r="E307" s="10" t="s">
        <v>31</v>
      </c>
      <c r="F307" s="11">
        <v>46220</v>
      </c>
      <c r="G307" s="10">
        <v>1</v>
      </c>
      <c r="H307" s="10">
        <v>1</v>
      </c>
      <c r="I307" s="10">
        <v>55</v>
      </c>
      <c r="J307" s="16">
        <v>1</v>
      </c>
      <c r="K307" s="16">
        <v>5452</v>
      </c>
      <c r="L307" s="16">
        <v>5450.84</v>
      </c>
      <c r="M307" s="10" t="s">
        <v>46</v>
      </c>
      <c r="N307" s="16">
        <v>5451</v>
      </c>
      <c r="O307" s="17">
        <f t="shared" si="8"/>
        <v>54.508400000000002</v>
      </c>
      <c r="P307" s="10">
        <v>80</v>
      </c>
      <c r="Q307" s="10">
        <v>25</v>
      </c>
      <c r="R307" s="19">
        <f t="shared" si="9"/>
        <v>100</v>
      </c>
    </row>
    <row r="308" spans="1:18" x14ac:dyDescent="0.2">
      <c r="A308" s="10">
        <v>47</v>
      </c>
      <c r="B308" s="11">
        <v>46195</v>
      </c>
      <c r="C308" s="10" t="s">
        <v>38</v>
      </c>
      <c r="D308" s="10" t="s">
        <v>43</v>
      </c>
      <c r="E308" s="10" t="s">
        <v>31</v>
      </c>
      <c r="F308" s="11">
        <v>46220</v>
      </c>
      <c r="G308" s="10">
        <v>400</v>
      </c>
      <c r="H308" s="10">
        <v>1</v>
      </c>
      <c r="I308" s="10">
        <v>17</v>
      </c>
      <c r="J308" s="16">
        <v>1</v>
      </c>
      <c r="K308" s="16">
        <v>1731</v>
      </c>
      <c r="L308" s="16">
        <v>1729.91</v>
      </c>
      <c r="M308" s="10" t="s">
        <v>32</v>
      </c>
      <c r="N308" s="16">
        <v>173</v>
      </c>
      <c r="O308" s="17">
        <f t="shared" si="8"/>
        <v>4.3247750000000001E-2</v>
      </c>
      <c r="Q308" s="10">
        <v>25</v>
      </c>
      <c r="R308" s="19">
        <f t="shared" si="9"/>
        <v>40000</v>
      </c>
    </row>
    <row r="309" spans="1:18" x14ac:dyDescent="0.2">
      <c r="A309" s="10">
        <v>48</v>
      </c>
      <c r="B309" s="11">
        <v>46198</v>
      </c>
      <c r="C309" s="10" t="s">
        <v>66</v>
      </c>
      <c r="D309" s="10" t="s">
        <v>30</v>
      </c>
      <c r="E309" s="10" t="s">
        <v>31</v>
      </c>
      <c r="F309" s="11">
        <v>46220</v>
      </c>
      <c r="G309" s="10">
        <v>130</v>
      </c>
      <c r="H309" s="10">
        <v>1</v>
      </c>
      <c r="I309" s="10">
        <v>2</v>
      </c>
      <c r="J309" s="16">
        <v>1</v>
      </c>
      <c r="K309" s="16">
        <v>179</v>
      </c>
      <c r="L309" s="16">
        <v>177.94</v>
      </c>
      <c r="M309" s="10" t="s">
        <v>32</v>
      </c>
      <c r="N309" s="16">
        <v>178</v>
      </c>
      <c r="O309" s="17">
        <f t="shared" si="8"/>
        <v>1.3687692307692307E-2</v>
      </c>
      <c r="P309" s="10">
        <v>23</v>
      </c>
      <c r="Q309" s="10">
        <v>22</v>
      </c>
      <c r="R309" s="19">
        <f t="shared" si="9"/>
        <v>13000</v>
      </c>
    </row>
    <row r="310" spans="1:18" x14ac:dyDescent="0.2">
      <c r="A310" s="10">
        <v>48</v>
      </c>
      <c r="B310" s="11">
        <v>46198</v>
      </c>
      <c r="C310" s="10" t="s">
        <v>66</v>
      </c>
      <c r="D310" s="10" t="s">
        <v>30</v>
      </c>
      <c r="E310" s="10" t="s">
        <v>31</v>
      </c>
      <c r="F310" s="11">
        <v>46220</v>
      </c>
      <c r="G310" s="10">
        <v>130</v>
      </c>
      <c r="H310" s="10">
        <v>1</v>
      </c>
      <c r="I310" s="10">
        <v>2</v>
      </c>
      <c r="J310" s="16">
        <v>0</v>
      </c>
      <c r="K310" s="16">
        <v>179</v>
      </c>
      <c r="L310" s="16">
        <v>178.64</v>
      </c>
      <c r="M310" s="10" t="s">
        <v>32</v>
      </c>
      <c r="N310" s="16">
        <v>179</v>
      </c>
      <c r="O310" s="17">
        <f t="shared" si="8"/>
        <v>1.3741538461538461E-2</v>
      </c>
      <c r="P310" s="10">
        <v>23</v>
      </c>
      <c r="Q310" s="10">
        <v>22</v>
      </c>
      <c r="R310" s="19">
        <f t="shared" si="9"/>
        <v>13000</v>
      </c>
    </row>
    <row r="311" spans="1:18" x14ac:dyDescent="0.2">
      <c r="A311" s="10">
        <v>49</v>
      </c>
      <c r="B311" s="11">
        <v>46202</v>
      </c>
      <c r="C311" s="10" t="s">
        <v>79</v>
      </c>
      <c r="D311" s="10" t="s">
        <v>30</v>
      </c>
      <c r="E311" s="10" t="s">
        <v>31</v>
      </c>
      <c r="F311" s="11">
        <v>46220</v>
      </c>
      <c r="G311" s="10">
        <v>60</v>
      </c>
      <c r="H311" s="10">
        <v>4</v>
      </c>
      <c r="I311" s="10">
        <v>1</v>
      </c>
      <c r="J311" s="16">
        <v>2</v>
      </c>
      <c r="K311" s="16">
        <v>452</v>
      </c>
      <c r="L311" s="16">
        <v>450.18</v>
      </c>
      <c r="M311" s="10" t="s">
        <v>32</v>
      </c>
      <c r="N311" s="16">
        <v>450</v>
      </c>
      <c r="O311" s="17">
        <f t="shared" si="8"/>
        <v>1.87575E-2</v>
      </c>
      <c r="P311" s="10">
        <v>38</v>
      </c>
      <c r="Q311" s="10">
        <v>18</v>
      </c>
      <c r="R311" s="19">
        <f t="shared" si="9"/>
        <v>24000</v>
      </c>
    </row>
    <row r="312" spans="1:18" x14ac:dyDescent="0.2">
      <c r="A312" s="10">
        <v>49</v>
      </c>
      <c r="B312" s="11">
        <v>46202</v>
      </c>
      <c r="C312" s="10" t="s">
        <v>81</v>
      </c>
      <c r="D312" s="10" t="s">
        <v>30</v>
      </c>
      <c r="E312" s="10" t="s">
        <v>31</v>
      </c>
      <c r="F312" s="11">
        <v>46220</v>
      </c>
      <c r="G312" s="10">
        <v>10</v>
      </c>
      <c r="H312" s="10">
        <v>10</v>
      </c>
      <c r="I312" s="10">
        <v>0</v>
      </c>
      <c r="J312" s="16">
        <v>7</v>
      </c>
      <c r="K312" s="16">
        <v>170</v>
      </c>
      <c r="L312" s="16">
        <v>162.96</v>
      </c>
      <c r="M312" s="10" t="s">
        <v>46</v>
      </c>
      <c r="N312" s="16">
        <v>163</v>
      </c>
      <c r="O312" s="17">
        <f t="shared" si="8"/>
        <v>1.6296000000000001E-2</v>
      </c>
      <c r="P312" s="10">
        <v>36</v>
      </c>
      <c r="Q312" s="10">
        <v>18</v>
      </c>
      <c r="R312" s="19">
        <f t="shared" si="9"/>
        <v>10000</v>
      </c>
    </row>
    <row r="313" spans="1:18" x14ac:dyDescent="0.2">
      <c r="A313" s="10">
        <v>49</v>
      </c>
      <c r="B313" s="11">
        <v>46202</v>
      </c>
      <c r="C313" s="10" t="s">
        <v>35</v>
      </c>
      <c r="D313" s="10" t="s">
        <v>30</v>
      </c>
      <c r="E313" s="10" t="s">
        <v>31</v>
      </c>
      <c r="F313" s="11">
        <v>46220</v>
      </c>
      <c r="G313" s="10">
        <v>650</v>
      </c>
      <c r="H313" s="10">
        <v>1</v>
      </c>
      <c r="I313" s="10">
        <v>13</v>
      </c>
      <c r="J313" s="16">
        <v>1</v>
      </c>
      <c r="K313" s="16">
        <v>1318</v>
      </c>
      <c r="L313" s="16">
        <v>1316.92</v>
      </c>
      <c r="M313" s="10" t="s">
        <v>32</v>
      </c>
      <c r="N313" s="16">
        <v>1317</v>
      </c>
      <c r="O313" s="17">
        <f t="shared" si="8"/>
        <v>2.0260307692307692E-2</v>
      </c>
      <c r="P313" s="10">
        <v>41</v>
      </c>
      <c r="Q313" s="10">
        <v>18</v>
      </c>
      <c r="R313" s="19">
        <f t="shared" si="9"/>
        <v>65000</v>
      </c>
    </row>
    <row r="314" spans="1:18" x14ac:dyDescent="0.2">
      <c r="A314" s="5"/>
      <c r="B314" s="6">
        <v>46205</v>
      </c>
      <c r="C314" s="7" t="s">
        <v>64</v>
      </c>
      <c r="D314" s="7" t="s">
        <v>30</v>
      </c>
      <c r="E314" s="7" t="s">
        <v>31</v>
      </c>
      <c r="F314" s="6">
        <v>46220</v>
      </c>
      <c r="G314" s="7">
        <v>148</v>
      </c>
      <c r="H314" s="7">
        <v>1</v>
      </c>
      <c r="I314" s="7">
        <v>15</v>
      </c>
      <c r="J314" s="14">
        <v>1</v>
      </c>
      <c r="K314" s="14">
        <v>1494</v>
      </c>
      <c r="L314" s="14">
        <v>1492.92</v>
      </c>
      <c r="M314" s="7" t="s">
        <v>46</v>
      </c>
      <c r="N314" s="14">
        <v>1493</v>
      </c>
      <c r="O314" s="17">
        <f t="shared" si="8"/>
        <v>0.10087297297297297</v>
      </c>
      <c r="P314" s="7">
        <v>246</v>
      </c>
      <c r="Q314" s="7">
        <v>15</v>
      </c>
      <c r="R314" s="19">
        <f t="shared" si="9"/>
        <v>14800</v>
      </c>
    </row>
    <row r="315" spans="1:18" x14ac:dyDescent="0.2">
      <c r="A315" s="8">
        <v>50</v>
      </c>
      <c r="B315" s="9">
        <v>46205</v>
      </c>
      <c r="C315" s="8" t="s">
        <v>65</v>
      </c>
      <c r="D315" s="8" t="s">
        <v>30</v>
      </c>
      <c r="E315" s="8" t="s">
        <v>31</v>
      </c>
      <c r="F315" s="9">
        <v>46220</v>
      </c>
      <c r="G315" s="8">
        <v>180</v>
      </c>
      <c r="H315" s="8">
        <v>2</v>
      </c>
      <c r="I315" s="8">
        <v>6</v>
      </c>
      <c r="J315" s="15">
        <v>1</v>
      </c>
      <c r="K315" s="15">
        <v>1272</v>
      </c>
      <c r="L315" s="15">
        <v>1270.5999999999999</v>
      </c>
      <c r="M315" s="8" t="s">
        <v>46</v>
      </c>
      <c r="N315" s="15">
        <v>1271</v>
      </c>
      <c r="O315" s="17">
        <f t="shared" si="8"/>
        <v>3.5294444444444441E-2</v>
      </c>
      <c r="P315" s="8">
        <v>86</v>
      </c>
      <c r="Q315" s="8">
        <v>15</v>
      </c>
      <c r="R315" s="19">
        <f t="shared" si="9"/>
        <v>36000</v>
      </c>
    </row>
    <row r="316" spans="1:18" x14ac:dyDescent="0.2">
      <c r="A316" s="8">
        <v>50</v>
      </c>
      <c r="B316" s="9">
        <v>46205</v>
      </c>
      <c r="C316" s="8" t="s">
        <v>41</v>
      </c>
      <c r="D316" s="8" t="s">
        <v>2</v>
      </c>
      <c r="E316" s="8" t="s">
        <v>20</v>
      </c>
      <c r="F316" s="8"/>
      <c r="G316" s="8"/>
      <c r="H316" s="8">
        <v>177</v>
      </c>
      <c r="I316" s="8">
        <v>95</v>
      </c>
      <c r="J316" s="15">
        <v>1</v>
      </c>
      <c r="K316" s="15">
        <v>16727.8</v>
      </c>
      <c r="L316" s="15">
        <v>16726.490000000002</v>
      </c>
      <c r="M316" s="8" t="s">
        <v>21</v>
      </c>
      <c r="N316" s="15"/>
      <c r="O316" s="17" t="str">
        <f t="shared" si="8"/>
        <v/>
      </c>
      <c r="P316" s="8"/>
      <c r="Q316" s="8"/>
      <c r="R316" s="19">
        <f t="shared" si="9"/>
        <v>0</v>
      </c>
    </row>
    <row r="317" spans="1:18" x14ac:dyDescent="0.2">
      <c r="A317" s="8">
        <v>50</v>
      </c>
      <c r="B317" s="9">
        <v>46205</v>
      </c>
      <c r="C317" s="8" t="s">
        <v>41</v>
      </c>
      <c r="D317" s="8" t="s">
        <v>2</v>
      </c>
      <c r="E317" s="8" t="s">
        <v>20</v>
      </c>
      <c r="F317" s="8"/>
      <c r="G317" s="8"/>
      <c r="H317" s="8">
        <v>123</v>
      </c>
      <c r="I317" s="8">
        <v>95</v>
      </c>
      <c r="J317" s="15">
        <v>1</v>
      </c>
      <c r="K317" s="15">
        <v>11627.19</v>
      </c>
      <c r="L317" s="15">
        <v>11626</v>
      </c>
      <c r="M317" s="8" t="s">
        <v>21</v>
      </c>
      <c r="N317" s="15"/>
      <c r="O317" s="17" t="str">
        <f t="shared" si="8"/>
        <v/>
      </c>
      <c r="P317" s="8"/>
      <c r="Q317" s="8"/>
      <c r="R317" s="19">
        <f t="shared" si="9"/>
        <v>0</v>
      </c>
    </row>
    <row r="318" spans="1:18" x14ac:dyDescent="0.2">
      <c r="A318" s="8">
        <v>51</v>
      </c>
      <c r="B318" s="9">
        <v>46218</v>
      </c>
      <c r="C318" s="8" t="s">
        <v>38</v>
      </c>
      <c r="D318" s="8" t="s">
        <v>43</v>
      </c>
      <c r="E318" s="8" t="s">
        <v>31</v>
      </c>
      <c r="F318" s="9">
        <v>46255</v>
      </c>
      <c r="G318" s="8">
        <v>400</v>
      </c>
      <c r="H318" s="8">
        <v>1</v>
      </c>
      <c r="I318" s="8">
        <v>17</v>
      </c>
      <c r="J318" s="15">
        <v>1</v>
      </c>
      <c r="K318" s="15">
        <v>1680</v>
      </c>
      <c r="L318" s="15">
        <v>1678.92</v>
      </c>
      <c r="M318" s="8" t="s">
        <v>32</v>
      </c>
      <c r="N318" s="15">
        <v>1679</v>
      </c>
      <c r="O318" s="17">
        <f t="shared" si="8"/>
        <v>4.1973000000000003E-2</v>
      </c>
      <c r="P318" s="8"/>
      <c r="Q318" s="8">
        <v>37</v>
      </c>
      <c r="R318" s="19">
        <f t="shared" si="9"/>
        <v>40000</v>
      </c>
    </row>
    <row r="319" spans="1:18" x14ac:dyDescent="0.2">
      <c r="A319" s="5"/>
      <c r="B319" s="6">
        <v>46220</v>
      </c>
      <c r="C319" s="7" t="s">
        <v>65</v>
      </c>
      <c r="D319" s="7" t="s">
        <v>2</v>
      </c>
      <c r="E319" s="7" t="s">
        <v>24</v>
      </c>
      <c r="F319" s="7"/>
      <c r="G319" s="7"/>
      <c r="H319" s="7">
        <v>200</v>
      </c>
      <c r="I319" s="7">
        <v>180</v>
      </c>
      <c r="J319" s="14">
        <v>0</v>
      </c>
      <c r="K319" s="14">
        <v>-36000</v>
      </c>
      <c r="L319" s="14">
        <v>-36000</v>
      </c>
      <c r="M319" s="7" t="s">
        <v>25</v>
      </c>
      <c r="N319" s="14"/>
      <c r="O319" s="17" t="str">
        <f t="shared" si="8"/>
        <v/>
      </c>
      <c r="P319" s="7"/>
      <c r="Q319" s="7"/>
      <c r="R319" s="19">
        <f t="shared" si="9"/>
        <v>0</v>
      </c>
    </row>
    <row r="320" spans="1:18" x14ac:dyDescent="0.2">
      <c r="A320" s="8">
        <v>52</v>
      </c>
      <c r="B320" s="9">
        <v>46220</v>
      </c>
      <c r="C320" s="8" t="s">
        <v>39</v>
      </c>
      <c r="D320" s="8" t="s">
        <v>43</v>
      </c>
      <c r="E320" s="8" t="s">
        <v>31</v>
      </c>
      <c r="F320" s="9">
        <v>46255</v>
      </c>
      <c r="G320" s="8">
        <v>1.01</v>
      </c>
      <c r="H320" s="8">
        <v>1</v>
      </c>
      <c r="I320" s="8">
        <v>43</v>
      </c>
      <c r="J320" s="15">
        <v>1</v>
      </c>
      <c r="K320" s="15">
        <v>4260</v>
      </c>
      <c r="L320" s="15">
        <v>4258.87</v>
      </c>
      <c r="M320" s="8" t="s">
        <v>32</v>
      </c>
      <c r="N320" s="15">
        <v>4259</v>
      </c>
      <c r="O320" s="17">
        <f t="shared" si="8"/>
        <v>42.167029702970297</v>
      </c>
      <c r="P320" s="8"/>
      <c r="Q320" s="8">
        <v>35</v>
      </c>
      <c r="R320" s="19">
        <f t="shared" si="9"/>
        <v>101</v>
      </c>
    </row>
    <row r="321" spans="1:18" x14ac:dyDescent="0.2">
      <c r="A321" s="8">
        <v>52</v>
      </c>
      <c r="B321" s="9">
        <v>46220</v>
      </c>
      <c r="C321" s="8" t="s">
        <v>39</v>
      </c>
      <c r="D321" s="8" t="s">
        <v>2</v>
      </c>
      <c r="E321" s="8" t="s">
        <v>24</v>
      </c>
      <c r="F321" s="8"/>
      <c r="G321" s="8"/>
      <c r="H321" s="8">
        <v>100</v>
      </c>
      <c r="I321" s="8" t="s">
        <v>89</v>
      </c>
      <c r="J321" s="15">
        <v>0</v>
      </c>
      <c r="K321" s="15">
        <v>-100000</v>
      </c>
      <c r="L321" s="15">
        <v>-100000</v>
      </c>
      <c r="M321" s="8" t="s">
        <v>46</v>
      </c>
      <c r="N321" s="15"/>
      <c r="O321" s="17" t="str">
        <f t="shared" si="8"/>
        <v/>
      </c>
      <c r="P321" s="8"/>
      <c r="Q321" s="8"/>
      <c r="R321" s="19">
        <f t="shared" si="9"/>
        <v>0</v>
      </c>
    </row>
    <row r="322" spans="1:18" x14ac:dyDescent="0.2">
      <c r="A322" s="10">
        <v>53</v>
      </c>
      <c r="B322" s="11">
        <v>46223</v>
      </c>
      <c r="C322" s="10" t="s">
        <v>17</v>
      </c>
      <c r="D322" s="10" t="s">
        <v>30</v>
      </c>
      <c r="E322" s="10" t="s">
        <v>31</v>
      </c>
      <c r="F322" s="11">
        <v>46255</v>
      </c>
      <c r="G322" s="10">
        <v>460</v>
      </c>
      <c r="H322" s="10">
        <v>2</v>
      </c>
      <c r="I322" s="10">
        <v>10</v>
      </c>
      <c r="J322" s="16">
        <v>1</v>
      </c>
      <c r="K322" s="16">
        <v>2058</v>
      </c>
      <c r="L322" s="16">
        <v>2056.5700000000002</v>
      </c>
      <c r="M322" s="10" t="s">
        <v>32</v>
      </c>
      <c r="N322" s="16">
        <v>2057</v>
      </c>
      <c r="O322" s="17">
        <f t="shared" ref="O322:O383" si="10">IFERROR(L322/(G322*100*H322),"")</f>
        <v>2.2354021739130436E-2</v>
      </c>
      <c r="P322" s="10">
        <v>26</v>
      </c>
      <c r="Q322" s="10">
        <v>32</v>
      </c>
      <c r="R322" s="19">
        <f t="shared" ref="R322:R383" si="11">H322*G322*100</f>
        <v>92000</v>
      </c>
    </row>
    <row r="323" spans="1:18" x14ac:dyDescent="0.2">
      <c r="A323" s="10">
        <v>53</v>
      </c>
      <c r="B323" s="11">
        <v>46223</v>
      </c>
      <c r="C323" s="10" t="s">
        <v>72</v>
      </c>
      <c r="D323" s="10" t="s">
        <v>30</v>
      </c>
      <c r="E323" s="10" t="s">
        <v>31</v>
      </c>
      <c r="F323" s="11">
        <v>46255</v>
      </c>
      <c r="G323" s="10">
        <v>195</v>
      </c>
      <c r="H323" s="10">
        <v>2</v>
      </c>
      <c r="I323" s="10">
        <v>4</v>
      </c>
      <c r="J323" s="16">
        <v>1</v>
      </c>
      <c r="K323" s="16">
        <v>812</v>
      </c>
      <c r="L323" s="16">
        <v>810.6</v>
      </c>
      <c r="M323" s="10" t="s">
        <v>32</v>
      </c>
      <c r="N323" s="16">
        <v>811</v>
      </c>
      <c r="O323" s="17">
        <f t="shared" si="10"/>
        <v>2.0784615384615384E-2</v>
      </c>
      <c r="P323" s="10">
        <v>24</v>
      </c>
      <c r="Q323" s="10">
        <v>32</v>
      </c>
      <c r="R323" s="19">
        <f t="shared" si="11"/>
        <v>39000</v>
      </c>
    </row>
    <row r="324" spans="1:18" x14ac:dyDescent="0.2">
      <c r="A324" s="10">
        <v>53</v>
      </c>
      <c r="B324" s="11">
        <v>46223</v>
      </c>
      <c r="C324" s="10" t="s">
        <v>80</v>
      </c>
      <c r="D324" s="10" t="s">
        <v>30</v>
      </c>
      <c r="E324" s="10" t="s">
        <v>31</v>
      </c>
      <c r="F324" s="11">
        <v>46255</v>
      </c>
      <c r="G324" s="10">
        <v>23</v>
      </c>
      <c r="H324" s="10">
        <v>1</v>
      </c>
      <c r="I324" s="10">
        <v>1</v>
      </c>
      <c r="J324" s="16">
        <v>1</v>
      </c>
      <c r="K324" s="16">
        <v>63</v>
      </c>
      <c r="L324" s="16">
        <v>61.96</v>
      </c>
      <c r="M324" s="10" t="s">
        <v>32</v>
      </c>
      <c r="N324" s="16">
        <v>62</v>
      </c>
      <c r="O324" s="17">
        <f t="shared" si="10"/>
        <v>2.6939130434782608E-2</v>
      </c>
      <c r="P324" s="10">
        <v>31</v>
      </c>
      <c r="Q324" s="10">
        <v>32</v>
      </c>
      <c r="R324" s="19">
        <f t="shared" si="11"/>
        <v>2300</v>
      </c>
    </row>
    <row r="325" spans="1:18" x14ac:dyDescent="0.2">
      <c r="A325" s="10">
        <v>53</v>
      </c>
      <c r="B325" s="11">
        <v>46223</v>
      </c>
      <c r="C325" s="10" t="s">
        <v>80</v>
      </c>
      <c r="D325" s="10" t="s">
        <v>30</v>
      </c>
      <c r="E325" s="10" t="s">
        <v>31</v>
      </c>
      <c r="F325" s="11">
        <v>46255</v>
      </c>
      <c r="G325" s="10">
        <v>23</v>
      </c>
      <c r="H325" s="10">
        <v>1</v>
      </c>
      <c r="I325" s="10">
        <v>1</v>
      </c>
      <c r="J325" s="16">
        <v>0</v>
      </c>
      <c r="K325" s="16">
        <v>63</v>
      </c>
      <c r="L325" s="16">
        <v>62.66</v>
      </c>
      <c r="M325" s="10" t="s">
        <v>32</v>
      </c>
      <c r="N325" s="16">
        <v>63</v>
      </c>
      <c r="O325" s="17">
        <f t="shared" si="10"/>
        <v>2.7243478260869564E-2</v>
      </c>
      <c r="P325" s="10">
        <v>31</v>
      </c>
      <c r="Q325" s="10">
        <v>32</v>
      </c>
      <c r="R325" s="19">
        <f t="shared" si="11"/>
        <v>2300</v>
      </c>
    </row>
    <row r="326" spans="1:18" x14ac:dyDescent="0.2">
      <c r="A326" s="10">
        <v>53</v>
      </c>
      <c r="B326" s="11">
        <v>46223</v>
      </c>
      <c r="C326" s="10" t="s">
        <v>90</v>
      </c>
      <c r="D326" s="10" t="s">
        <v>30</v>
      </c>
      <c r="E326" s="10" t="s">
        <v>31</v>
      </c>
      <c r="F326" s="11">
        <v>46255</v>
      </c>
      <c r="G326" s="10">
        <v>40</v>
      </c>
      <c r="H326" s="10">
        <v>1</v>
      </c>
      <c r="I326" s="10">
        <v>2</v>
      </c>
      <c r="J326" s="16">
        <v>1</v>
      </c>
      <c r="K326" s="16">
        <v>186</v>
      </c>
      <c r="L326" s="16">
        <v>184.96</v>
      </c>
      <c r="M326" s="10" t="s">
        <v>32</v>
      </c>
      <c r="N326" s="16">
        <v>185</v>
      </c>
      <c r="O326" s="17">
        <f t="shared" si="10"/>
        <v>4.6240000000000003E-2</v>
      </c>
      <c r="P326" s="10">
        <v>53</v>
      </c>
      <c r="Q326" s="10">
        <v>32</v>
      </c>
      <c r="R326" s="19">
        <f t="shared" si="11"/>
        <v>4000</v>
      </c>
    </row>
    <row r="327" spans="1:18" x14ac:dyDescent="0.2">
      <c r="A327" s="10">
        <v>53</v>
      </c>
      <c r="B327" s="11">
        <v>46223</v>
      </c>
      <c r="C327" s="10" t="s">
        <v>90</v>
      </c>
      <c r="D327" s="10" t="s">
        <v>30</v>
      </c>
      <c r="E327" s="10" t="s">
        <v>31</v>
      </c>
      <c r="F327" s="11">
        <v>46255</v>
      </c>
      <c r="G327" s="10">
        <v>40</v>
      </c>
      <c r="H327" s="10">
        <v>1</v>
      </c>
      <c r="I327" s="10">
        <v>2</v>
      </c>
      <c r="J327" s="16">
        <v>0</v>
      </c>
      <c r="K327" s="16">
        <v>186</v>
      </c>
      <c r="L327" s="16">
        <v>185.66</v>
      </c>
      <c r="M327" s="10" t="s">
        <v>32</v>
      </c>
      <c r="N327" s="16">
        <v>186</v>
      </c>
      <c r="O327" s="17">
        <f t="shared" si="10"/>
        <v>4.6414999999999998E-2</v>
      </c>
      <c r="P327" s="10">
        <v>53</v>
      </c>
      <c r="Q327" s="10">
        <v>32</v>
      </c>
      <c r="R327" s="19">
        <f t="shared" si="11"/>
        <v>4000</v>
      </c>
    </row>
    <row r="328" spans="1:18" x14ac:dyDescent="0.2">
      <c r="A328" s="10">
        <v>53</v>
      </c>
      <c r="B328" s="11">
        <v>46223</v>
      </c>
      <c r="C328" s="10" t="s">
        <v>91</v>
      </c>
      <c r="D328" s="10" t="s">
        <v>30</v>
      </c>
      <c r="E328" s="10" t="s">
        <v>31</v>
      </c>
      <c r="F328" s="11">
        <v>46255</v>
      </c>
      <c r="G328" s="10">
        <v>57</v>
      </c>
      <c r="H328" s="10">
        <v>1</v>
      </c>
      <c r="I328" s="10">
        <v>0</v>
      </c>
      <c r="J328" s="16">
        <v>1</v>
      </c>
      <c r="K328" s="16">
        <v>42</v>
      </c>
      <c r="L328" s="16">
        <v>40.96</v>
      </c>
      <c r="M328" s="10" t="s">
        <v>32</v>
      </c>
      <c r="N328" s="16">
        <v>41</v>
      </c>
      <c r="O328" s="17">
        <f t="shared" si="10"/>
        <v>7.1859649122807019E-3</v>
      </c>
      <c r="P328" s="10">
        <v>8</v>
      </c>
      <c r="Q328" s="10">
        <v>32</v>
      </c>
      <c r="R328" s="19">
        <f t="shared" si="11"/>
        <v>5700</v>
      </c>
    </row>
    <row r="329" spans="1:18" x14ac:dyDescent="0.2">
      <c r="A329" s="10">
        <v>53</v>
      </c>
      <c r="B329" s="11">
        <v>46223</v>
      </c>
      <c r="C329" s="10" t="s">
        <v>91</v>
      </c>
      <c r="D329" s="10" t="s">
        <v>30</v>
      </c>
      <c r="E329" s="10" t="s">
        <v>31</v>
      </c>
      <c r="F329" s="11">
        <v>46255</v>
      </c>
      <c r="G329" s="10">
        <v>57</v>
      </c>
      <c r="H329" s="10">
        <v>1</v>
      </c>
      <c r="I329" s="10">
        <v>0</v>
      </c>
      <c r="J329" s="16">
        <v>0</v>
      </c>
      <c r="K329" s="16">
        <v>42</v>
      </c>
      <c r="L329" s="16">
        <v>41.66</v>
      </c>
      <c r="M329" s="10" t="s">
        <v>32</v>
      </c>
      <c r="N329" s="16">
        <v>42</v>
      </c>
      <c r="O329" s="17">
        <f t="shared" si="10"/>
        <v>7.3087719298245606E-3</v>
      </c>
      <c r="P329" s="10">
        <v>8</v>
      </c>
      <c r="Q329" s="10">
        <v>32</v>
      </c>
      <c r="R329" s="19">
        <f t="shared" si="11"/>
        <v>5700</v>
      </c>
    </row>
    <row r="330" spans="1:18" x14ac:dyDescent="0.2">
      <c r="A330" s="10">
        <v>53</v>
      </c>
      <c r="B330" s="11">
        <v>46223</v>
      </c>
      <c r="C330" s="10" t="s">
        <v>67</v>
      </c>
      <c r="D330" s="10" t="s">
        <v>30</v>
      </c>
      <c r="E330" s="10" t="s">
        <v>31</v>
      </c>
      <c r="F330" s="11">
        <v>46255</v>
      </c>
      <c r="G330" s="10">
        <v>60</v>
      </c>
      <c r="H330" s="10">
        <v>2</v>
      </c>
      <c r="I330" s="10">
        <v>1</v>
      </c>
      <c r="J330" s="16">
        <v>1</v>
      </c>
      <c r="K330" s="16">
        <v>210</v>
      </c>
      <c r="L330" s="16">
        <v>208.61</v>
      </c>
      <c r="M330" s="10" t="s">
        <v>46</v>
      </c>
      <c r="N330" s="16">
        <v>209</v>
      </c>
      <c r="O330" s="17">
        <f t="shared" si="10"/>
        <v>1.7384166666666669E-2</v>
      </c>
      <c r="P330" s="10">
        <v>20</v>
      </c>
      <c r="Q330" s="10">
        <v>32</v>
      </c>
      <c r="R330" s="19">
        <f t="shared" si="11"/>
        <v>12000</v>
      </c>
    </row>
    <row r="331" spans="1:18" x14ac:dyDescent="0.2">
      <c r="A331" s="10">
        <v>53</v>
      </c>
      <c r="B331" s="11">
        <v>46223</v>
      </c>
      <c r="C331" s="10" t="s">
        <v>92</v>
      </c>
      <c r="D331" s="10" t="s">
        <v>30</v>
      </c>
      <c r="E331" s="10" t="s">
        <v>31</v>
      </c>
      <c r="F331" s="11">
        <v>46255</v>
      </c>
      <c r="G331" s="10">
        <v>55</v>
      </c>
      <c r="H331" s="10">
        <v>2</v>
      </c>
      <c r="I331" s="10">
        <v>2</v>
      </c>
      <c r="J331" s="16">
        <v>1</v>
      </c>
      <c r="K331" s="16">
        <v>372</v>
      </c>
      <c r="L331" s="16">
        <v>370.61</v>
      </c>
      <c r="M331" s="10" t="s">
        <v>32</v>
      </c>
      <c r="N331" s="16">
        <v>371</v>
      </c>
      <c r="O331" s="17">
        <f t="shared" si="10"/>
        <v>3.3691818181818184E-2</v>
      </c>
      <c r="P331" s="10">
        <v>39</v>
      </c>
      <c r="Q331" s="10">
        <v>32</v>
      </c>
      <c r="R331" s="19">
        <f t="shared" si="11"/>
        <v>11000</v>
      </c>
    </row>
    <row r="332" spans="1:18" x14ac:dyDescent="0.2">
      <c r="A332" s="10">
        <v>53</v>
      </c>
      <c r="B332" s="11">
        <v>46223</v>
      </c>
      <c r="C332" s="10" t="s">
        <v>79</v>
      </c>
      <c r="D332" s="10" t="s">
        <v>30</v>
      </c>
      <c r="E332" s="10" t="s">
        <v>31</v>
      </c>
      <c r="F332" s="11">
        <v>46255</v>
      </c>
      <c r="G332" s="10">
        <v>59</v>
      </c>
      <c r="H332" s="10">
        <v>1</v>
      </c>
      <c r="I332" s="10">
        <v>1</v>
      </c>
      <c r="J332" s="16">
        <v>1</v>
      </c>
      <c r="K332" s="16">
        <v>144</v>
      </c>
      <c r="L332" s="16">
        <v>142.96</v>
      </c>
      <c r="M332" s="10" t="s">
        <v>32</v>
      </c>
      <c r="N332" s="16">
        <v>143</v>
      </c>
      <c r="O332" s="17">
        <f t="shared" si="10"/>
        <v>2.4230508474576272E-2</v>
      </c>
      <c r="P332" s="10">
        <v>28</v>
      </c>
      <c r="Q332" s="10">
        <v>32</v>
      </c>
      <c r="R332" s="19">
        <f t="shared" si="11"/>
        <v>5900</v>
      </c>
    </row>
    <row r="333" spans="1:18" x14ac:dyDescent="0.2">
      <c r="A333" s="10">
        <v>53</v>
      </c>
      <c r="B333" s="11">
        <v>46223</v>
      </c>
      <c r="C333" s="10" t="s">
        <v>79</v>
      </c>
      <c r="D333" s="10" t="s">
        <v>30</v>
      </c>
      <c r="E333" s="10" t="s">
        <v>31</v>
      </c>
      <c r="F333" s="11">
        <v>46255</v>
      </c>
      <c r="G333" s="10">
        <v>59</v>
      </c>
      <c r="H333" s="10">
        <v>1</v>
      </c>
      <c r="I333" s="10">
        <v>1</v>
      </c>
      <c r="J333" s="16">
        <v>0</v>
      </c>
      <c r="K333" s="16">
        <v>144</v>
      </c>
      <c r="L333" s="16">
        <v>143.66</v>
      </c>
      <c r="M333" s="10" t="s">
        <v>32</v>
      </c>
      <c r="N333" s="16">
        <v>144</v>
      </c>
      <c r="O333" s="17">
        <f t="shared" si="10"/>
        <v>2.4349152542372882E-2</v>
      </c>
      <c r="P333" s="10">
        <v>28</v>
      </c>
      <c r="Q333" s="10">
        <v>32</v>
      </c>
      <c r="R333" s="19">
        <f t="shared" si="11"/>
        <v>5900</v>
      </c>
    </row>
    <row r="334" spans="1:18" x14ac:dyDescent="0.2">
      <c r="A334" s="10">
        <v>53</v>
      </c>
      <c r="B334" s="11">
        <v>46223</v>
      </c>
      <c r="C334" s="10" t="s">
        <v>66</v>
      </c>
      <c r="D334" s="10" t="s">
        <v>30</v>
      </c>
      <c r="E334" s="10" t="s">
        <v>31</v>
      </c>
      <c r="F334" s="11">
        <v>46255</v>
      </c>
      <c r="G334" s="10">
        <v>125</v>
      </c>
      <c r="H334" s="10">
        <v>2</v>
      </c>
      <c r="I334" s="10">
        <v>4</v>
      </c>
      <c r="J334" s="16">
        <v>1</v>
      </c>
      <c r="K334" s="16">
        <v>738</v>
      </c>
      <c r="L334" s="16">
        <v>736.6</v>
      </c>
      <c r="M334" s="10" t="s">
        <v>46</v>
      </c>
      <c r="N334" s="16">
        <v>737</v>
      </c>
      <c r="O334" s="17">
        <f t="shared" si="10"/>
        <v>2.9464000000000001E-2</v>
      </c>
      <c r="P334" s="10">
        <v>34</v>
      </c>
      <c r="Q334" s="10">
        <v>32</v>
      </c>
      <c r="R334" s="19">
        <f t="shared" si="11"/>
        <v>25000</v>
      </c>
    </row>
    <row r="335" spans="1:18" x14ac:dyDescent="0.2">
      <c r="A335" s="10">
        <v>53</v>
      </c>
      <c r="B335" s="11">
        <v>46223</v>
      </c>
      <c r="C335" s="10" t="s">
        <v>35</v>
      </c>
      <c r="D335" s="10" t="s">
        <v>30</v>
      </c>
      <c r="E335" s="10" t="s">
        <v>31</v>
      </c>
      <c r="F335" s="11">
        <v>46255</v>
      </c>
      <c r="G335" s="10">
        <v>540</v>
      </c>
      <c r="H335" s="10">
        <v>1</v>
      </c>
      <c r="I335" s="10">
        <v>15</v>
      </c>
      <c r="J335" s="16">
        <v>1</v>
      </c>
      <c r="K335" s="16">
        <v>1546</v>
      </c>
      <c r="L335" s="16">
        <v>1544.92</v>
      </c>
      <c r="M335" s="10" t="s">
        <v>32</v>
      </c>
      <c r="N335" s="16">
        <v>1545</v>
      </c>
      <c r="O335" s="17">
        <f t="shared" si="10"/>
        <v>2.8609629629629631E-2</v>
      </c>
      <c r="P335" s="10">
        <v>33</v>
      </c>
      <c r="Q335" s="10">
        <v>32</v>
      </c>
      <c r="R335" s="19">
        <f t="shared" si="11"/>
        <v>54000</v>
      </c>
    </row>
    <row r="336" spans="1:18" x14ac:dyDescent="0.2">
      <c r="A336" s="10">
        <v>53</v>
      </c>
      <c r="B336" s="11">
        <v>46223</v>
      </c>
      <c r="C336" s="10" t="s">
        <v>65</v>
      </c>
      <c r="D336" s="10" t="s">
        <v>2</v>
      </c>
      <c r="E336" s="10" t="s">
        <v>20</v>
      </c>
      <c r="H336" s="10">
        <v>75</v>
      </c>
      <c r="I336" s="10">
        <v>182</v>
      </c>
      <c r="J336" s="16">
        <v>0</v>
      </c>
      <c r="K336" s="16">
        <v>13683</v>
      </c>
      <c r="L336" s="16">
        <v>13682.7</v>
      </c>
      <c r="M336" s="10" t="s">
        <v>21</v>
      </c>
      <c r="O336" s="17" t="str">
        <f t="shared" si="10"/>
        <v/>
      </c>
      <c r="R336" s="19">
        <f t="shared" si="11"/>
        <v>0</v>
      </c>
    </row>
    <row r="337" spans="1:18" x14ac:dyDescent="0.2">
      <c r="A337" s="10">
        <v>53</v>
      </c>
      <c r="B337" s="11">
        <v>46223</v>
      </c>
      <c r="C337" s="10" t="s">
        <v>65</v>
      </c>
      <c r="D337" s="10" t="s">
        <v>2</v>
      </c>
      <c r="E337" s="10" t="s">
        <v>20</v>
      </c>
      <c r="H337" s="10">
        <v>25</v>
      </c>
      <c r="I337" s="10">
        <v>182</v>
      </c>
      <c r="J337" s="16">
        <v>0</v>
      </c>
      <c r="K337" s="16">
        <v>4561</v>
      </c>
      <c r="L337" s="16">
        <v>4560.8999999999996</v>
      </c>
      <c r="M337" s="10" t="s">
        <v>21</v>
      </c>
      <c r="O337" s="17" t="str">
        <f t="shared" si="10"/>
        <v/>
      </c>
      <c r="R337" s="19">
        <f t="shared" si="11"/>
        <v>0</v>
      </c>
    </row>
    <row r="338" spans="1:18" x14ac:dyDescent="0.2">
      <c r="A338" s="10">
        <v>53</v>
      </c>
      <c r="B338" s="11">
        <v>46223</v>
      </c>
      <c r="C338" s="10" t="s">
        <v>65</v>
      </c>
      <c r="D338" s="10" t="s">
        <v>2</v>
      </c>
      <c r="E338" s="10" t="s">
        <v>20</v>
      </c>
      <c r="H338" s="10">
        <v>100</v>
      </c>
      <c r="I338" s="10">
        <v>182</v>
      </c>
      <c r="J338" s="16">
        <v>1</v>
      </c>
      <c r="K338" s="16">
        <v>18244.5</v>
      </c>
      <c r="L338" s="16">
        <v>18243.099999999999</v>
      </c>
      <c r="M338" s="10" t="s">
        <v>21</v>
      </c>
      <c r="O338" s="17" t="str">
        <f t="shared" si="10"/>
        <v/>
      </c>
      <c r="R338" s="19">
        <f t="shared" si="11"/>
        <v>0</v>
      </c>
    </row>
    <row r="339" spans="1:18" x14ac:dyDescent="0.2">
      <c r="A339" s="10">
        <v>53</v>
      </c>
      <c r="B339" s="11">
        <v>46223</v>
      </c>
      <c r="C339" s="10" t="s">
        <v>81</v>
      </c>
      <c r="D339" s="10" t="s">
        <v>43</v>
      </c>
      <c r="E339" s="10" t="s">
        <v>31</v>
      </c>
      <c r="F339" s="11">
        <v>46255</v>
      </c>
      <c r="G339" s="10">
        <v>10</v>
      </c>
      <c r="H339" s="10">
        <v>5</v>
      </c>
      <c r="I339" s="10">
        <v>1</v>
      </c>
      <c r="J339" s="16">
        <v>4</v>
      </c>
      <c r="K339" s="16">
        <v>320</v>
      </c>
      <c r="L339" s="16">
        <v>316.49</v>
      </c>
      <c r="M339" s="10" t="s">
        <v>32</v>
      </c>
      <c r="N339" s="16">
        <v>316</v>
      </c>
      <c r="O339" s="17">
        <f t="shared" si="10"/>
        <v>6.3298000000000007E-2</v>
      </c>
      <c r="Q339" s="10">
        <v>32</v>
      </c>
      <c r="R339" s="19">
        <f t="shared" si="11"/>
        <v>5000</v>
      </c>
    </row>
    <row r="340" spans="1:18" x14ac:dyDescent="0.2">
      <c r="A340" s="10">
        <v>53</v>
      </c>
      <c r="B340" s="11">
        <v>46223</v>
      </c>
      <c r="C340" s="10" t="s">
        <v>81</v>
      </c>
      <c r="D340" s="10" t="s">
        <v>43</v>
      </c>
      <c r="E340" s="10" t="s">
        <v>31</v>
      </c>
      <c r="F340" s="11">
        <v>46255</v>
      </c>
      <c r="G340" s="10">
        <v>10</v>
      </c>
      <c r="H340" s="10">
        <v>5</v>
      </c>
      <c r="I340" s="10">
        <v>1</v>
      </c>
      <c r="J340" s="16">
        <v>4</v>
      </c>
      <c r="K340" s="16">
        <v>320</v>
      </c>
      <c r="L340" s="16">
        <v>316.49</v>
      </c>
      <c r="M340" s="10" t="s">
        <v>32</v>
      </c>
      <c r="N340" s="16">
        <v>316</v>
      </c>
      <c r="O340" s="17">
        <f t="shared" si="10"/>
        <v>6.3298000000000007E-2</v>
      </c>
      <c r="Q340" s="10">
        <v>32</v>
      </c>
      <c r="R340" s="19">
        <f t="shared" si="11"/>
        <v>5000</v>
      </c>
    </row>
    <row r="341" spans="1:18" x14ac:dyDescent="0.2">
      <c r="A341" s="10">
        <v>54</v>
      </c>
      <c r="B341" s="11">
        <v>46224</v>
      </c>
      <c r="C341" s="10" t="s">
        <v>93</v>
      </c>
      <c r="D341" s="10" t="s">
        <v>30</v>
      </c>
      <c r="E341" s="10" t="s">
        <v>31</v>
      </c>
      <c r="F341" s="11">
        <v>46255</v>
      </c>
      <c r="G341" s="10">
        <v>137</v>
      </c>
      <c r="H341" s="10">
        <v>1</v>
      </c>
      <c r="I341" s="10">
        <v>1</v>
      </c>
      <c r="J341" s="16">
        <v>1</v>
      </c>
      <c r="K341" s="16">
        <v>120</v>
      </c>
      <c r="L341" s="16">
        <v>118.96</v>
      </c>
      <c r="M341" s="10" t="s">
        <v>32</v>
      </c>
      <c r="N341" s="16">
        <v>119</v>
      </c>
      <c r="O341" s="17">
        <f t="shared" si="10"/>
        <v>8.683211678832117E-3</v>
      </c>
      <c r="P341" s="10">
        <v>10</v>
      </c>
      <c r="Q341" s="10">
        <v>31</v>
      </c>
      <c r="R341" s="19">
        <f t="shared" si="11"/>
        <v>13700</v>
      </c>
    </row>
    <row r="342" spans="1:18" x14ac:dyDescent="0.2">
      <c r="A342" s="10">
        <v>54</v>
      </c>
      <c r="B342" s="11">
        <v>46224</v>
      </c>
      <c r="C342" s="10" t="s">
        <v>93</v>
      </c>
      <c r="D342" s="10" t="s">
        <v>30</v>
      </c>
      <c r="E342" s="10" t="s">
        <v>31</v>
      </c>
      <c r="F342" s="11">
        <v>46255</v>
      </c>
      <c r="G342" s="10">
        <v>137</v>
      </c>
      <c r="H342" s="10">
        <v>1</v>
      </c>
      <c r="I342" s="10">
        <v>1</v>
      </c>
      <c r="J342" s="16">
        <v>0</v>
      </c>
      <c r="K342" s="16">
        <v>120</v>
      </c>
      <c r="L342" s="16">
        <v>119.66</v>
      </c>
      <c r="M342" s="10" t="s">
        <v>32</v>
      </c>
      <c r="N342" s="16">
        <v>120</v>
      </c>
      <c r="O342" s="17">
        <f t="shared" si="10"/>
        <v>8.7343065693430647E-3</v>
      </c>
      <c r="P342" s="10">
        <v>10</v>
      </c>
      <c r="Q342" s="10">
        <v>31</v>
      </c>
      <c r="R342" s="19">
        <f t="shared" si="11"/>
        <v>13700</v>
      </c>
    </row>
    <row r="343" spans="1:18" x14ac:dyDescent="0.2">
      <c r="A343" s="10">
        <v>54</v>
      </c>
      <c r="B343" s="11">
        <v>46224</v>
      </c>
      <c r="C343" s="10" t="s">
        <v>78</v>
      </c>
      <c r="D343" s="10" t="s">
        <v>30</v>
      </c>
      <c r="E343" s="10" t="s">
        <v>31</v>
      </c>
      <c r="F343" s="11">
        <v>46255</v>
      </c>
      <c r="G343" s="10">
        <v>185</v>
      </c>
      <c r="H343" s="10">
        <v>1</v>
      </c>
      <c r="I343" s="10">
        <v>3</v>
      </c>
      <c r="J343" s="16">
        <v>1</v>
      </c>
      <c r="K343" s="16">
        <v>268</v>
      </c>
      <c r="L343" s="16">
        <v>266.95</v>
      </c>
      <c r="M343" s="10" t="s">
        <v>32</v>
      </c>
      <c r="N343" s="16">
        <v>267</v>
      </c>
      <c r="O343" s="17">
        <f t="shared" si="10"/>
        <v>1.4429729729729729E-2</v>
      </c>
      <c r="P343" s="10">
        <v>17</v>
      </c>
      <c r="Q343" s="10">
        <v>31</v>
      </c>
      <c r="R343" s="19">
        <f t="shared" si="11"/>
        <v>18500</v>
      </c>
    </row>
    <row r="344" spans="1:18" x14ac:dyDescent="0.2">
      <c r="A344" s="10">
        <v>54</v>
      </c>
      <c r="B344" s="11">
        <v>46224</v>
      </c>
      <c r="C344" s="10" t="s">
        <v>78</v>
      </c>
      <c r="D344" s="10" t="s">
        <v>30</v>
      </c>
      <c r="E344" s="10" t="s">
        <v>31</v>
      </c>
      <c r="F344" s="11">
        <v>46255</v>
      </c>
      <c r="G344" s="10">
        <v>185</v>
      </c>
      <c r="H344" s="10">
        <v>1</v>
      </c>
      <c r="I344" s="10">
        <v>3</v>
      </c>
      <c r="J344" s="16">
        <v>0</v>
      </c>
      <c r="K344" s="16">
        <v>268</v>
      </c>
      <c r="L344" s="16">
        <v>267.64999999999998</v>
      </c>
      <c r="M344" s="10" t="s">
        <v>32</v>
      </c>
      <c r="N344" s="16">
        <v>268</v>
      </c>
      <c r="O344" s="17">
        <f t="shared" si="10"/>
        <v>1.4467567567567566E-2</v>
      </c>
      <c r="P344" s="10">
        <v>17</v>
      </c>
      <c r="Q344" s="10">
        <v>31</v>
      </c>
      <c r="R344" s="19">
        <f t="shared" si="11"/>
        <v>18500</v>
      </c>
    </row>
    <row r="345" spans="1:18" x14ac:dyDescent="0.2">
      <c r="A345" s="5">
        <v>55</v>
      </c>
      <c r="B345" s="6">
        <v>46240</v>
      </c>
      <c r="C345" s="7" t="s">
        <v>66</v>
      </c>
      <c r="D345" s="7" t="s">
        <v>30</v>
      </c>
      <c r="E345" s="7" t="s">
        <v>31</v>
      </c>
      <c r="F345" s="6">
        <v>46255</v>
      </c>
      <c r="G345" s="7">
        <v>135</v>
      </c>
      <c r="H345" s="7">
        <v>1</v>
      </c>
      <c r="I345" s="7">
        <v>3</v>
      </c>
      <c r="J345" s="14">
        <v>1</v>
      </c>
      <c r="K345" s="14">
        <v>257</v>
      </c>
      <c r="L345" s="14">
        <v>255.96</v>
      </c>
      <c r="M345" s="7" t="s">
        <v>46</v>
      </c>
      <c r="N345" s="14">
        <v>256</v>
      </c>
      <c r="O345" s="17">
        <f t="shared" si="10"/>
        <v>1.8960000000000001E-2</v>
      </c>
      <c r="P345" s="7">
        <v>46</v>
      </c>
      <c r="Q345" s="7">
        <v>15</v>
      </c>
      <c r="R345" s="19">
        <f t="shared" si="11"/>
        <v>13500</v>
      </c>
    </row>
    <row r="346" spans="1:18" x14ac:dyDescent="0.2">
      <c r="A346" s="5">
        <v>56</v>
      </c>
      <c r="B346" s="6">
        <v>46252</v>
      </c>
      <c r="C346" s="7" t="s">
        <v>68</v>
      </c>
      <c r="D346" s="7" t="s">
        <v>30</v>
      </c>
      <c r="E346" s="7" t="s">
        <v>31</v>
      </c>
      <c r="F346" s="6">
        <v>46255</v>
      </c>
      <c r="G346" s="7">
        <v>115</v>
      </c>
      <c r="H346" s="7">
        <v>2</v>
      </c>
      <c r="I346" s="7">
        <v>1</v>
      </c>
      <c r="J346" s="14">
        <v>1</v>
      </c>
      <c r="K346" s="14">
        <v>214</v>
      </c>
      <c r="L346" s="14">
        <v>212.62</v>
      </c>
      <c r="M346" s="7" t="s">
        <v>46</v>
      </c>
      <c r="N346" s="14">
        <v>213</v>
      </c>
      <c r="O346" s="17">
        <f t="shared" si="10"/>
        <v>9.2443478260869575E-3</v>
      </c>
      <c r="P346" s="7">
        <v>113</v>
      </c>
      <c r="Q346" s="7"/>
      <c r="R346" s="19">
        <f t="shared" si="11"/>
        <v>23000</v>
      </c>
    </row>
    <row r="347" spans="1:18" x14ac:dyDescent="0.2">
      <c r="A347" s="8">
        <v>56</v>
      </c>
      <c r="B347" s="9">
        <v>46252</v>
      </c>
      <c r="C347" s="8" t="s">
        <v>68</v>
      </c>
      <c r="D347" s="8" t="s">
        <v>30</v>
      </c>
      <c r="E347" s="8" t="s">
        <v>31</v>
      </c>
      <c r="F347" s="9">
        <v>46255</v>
      </c>
      <c r="G347" s="8">
        <v>115</v>
      </c>
      <c r="H347" s="8">
        <v>2</v>
      </c>
      <c r="I347" s="8">
        <v>1</v>
      </c>
      <c r="J347" s="15">
        <v>1</v>
      </c>
      <c r="K347" s="15">
        <v>214</v>
      </c>
      <c r="L347" s="15">
        <v>212.62</v>
      </c>
      <c r="M347" s="8" t="s">
        <v>46</v>
      </c>
      <c r="N347" s="15">
        <v>213</v>
      </c>
      <c r="O347" s="17">
        <f t="shared" si="10"/>
        <v>9.2443478260869575E-3</v>
      </c>
      <c r="P347" s="8">
        <v>113</v>
      </c>
      <c r="Q347" s="8">
        <v>3</v>
      </c>
      <c r="R347" s="19">
        <f t="shared" si="11"/>
        <v>23000</v>
      </c>
    </row>
    <row r="348" spans="1:18" x14ac:dyDescent="0.2">
      <c r="A348" s="8">
        <v>56</v>
      </c>
      <c r="B348" s="9">
        <v>46252</v>
      </c>
      <c r="C348" s="8" t="s">
        <v>74</v>
      </c>
      <c r="D348" s="8" t="s">
        <v>30</v>
      </c>
      <c r="E348" s="8" t="s">
        <v>31</v>
      </c>
      <c r="F348" s="9">
        <v>46255</v>
      </c>
      <c r="G348" s="8">
        <v>70</v>
      </c>
      <c r="H348" s="8">
        <v>4</v>
      </c>
      <c r="I348" s="8">
        <v>0</v>
      </c>
      <c r="J348" s="15">
        <v>3</v>
      </c>
      <c r="K348" s="15">
        <v>188</v>
      </c>
      <c r="L348" s="15">
        <v>185.25</v>
      </c>
      <c r="M348" s="8" t="s">
        <v>32</v>
      </c>
      <c r="N348" s="15">
        <v>185</v>
      </c>
      <c r="O348" s="17">
        <f t="shared" si="10"/>
        <v>6.6160714285714286E-3</v>
      </c>
      <c r="P348" s="8">
        <v>82</v>
      </c>
      <c r="Q348" s="8">
        <v>3</v>
      </c>
      <c r="R348" s="19">
        <f t="shared" si="11"/>
        <v>28000</v>
      </c>
    </row>
    <row r="349" spans="1:18" x14ac:dyDescent="0.2">
      <c r="A349" s="5"/>
      <c r="B349" s="6">
        <v>46254</v>
      </c>
      <c r="C349" s="7" t="s">
        <v>66</v>
      </c>
      <c r="D349" s="7" t="s">
        <v>2</v>
      </c>
      <c r="E349" s="7" t="s">
        <v>24</v>
      </c>
      <c r="F349" s="7"/>
      <c r="G349" s="7"/>
      <c r="H349" s="7">
        <v>100</v>
      </c>
      <c r="I349" s="7">
        <v>135</v>
      </c>
      <c r="J349" s="14">
        <v>0</v>
      </c>
      <c r="K349" s="14">
        <v>-13500</v>
      </c>
      <c r="L349" s="14">
        <v>-13500</v>
      </c>
      <c r="M349" s="7" t="s">
        <v>46</v>
      </c>
      <c r="N349" s="14"/>
      <c r="O349" s="17" t="str">
        <f t="shared" si="10"/>
        <v/>
      </c>
      <c r="P349" s="7"/>
      <c r="Q349" s="7"/>
      <c r="R349" s="19">
        <f t="shared" si="11"/>
        <v>0</v>
      </c>
    </row>
    <row r="350" spans="1:18" x14ac:dyDescent="0.2">
      <c r="A350" s="5"/>
      <c r="B350" s="6">
        <v>46255</v>
      </c>
      <c r="C350" s="7" t="s">
        <v>67</v>
      </c>
      <c r="D350" s="7" t="s">
        <v>2</v>
      </c>
      <c r="E350" s="7" t="s">
        <v>24</v>
      </c>
      <c r="F350" s="7"/>
      <c r="G350" s="7"/>
      <c r="H350" s="7">
        <v>200</v>
      </c>
      <c r="I350" s="7">
        <v>60</v>
      </c>
      <c r="J350" s="14">
        <v>0</v>
      </c>
      <c r="K350" s="14">
        <v>-12000</v>
      </c>
      <c r="L350" s="14">
        <v>-12000</v>
      </c>
      <c r="M350" s="7" t="s">
        <v>46</v>
      </c>
      <c r="N350" s="14"/>
      <c r="O350" s="17" t="str">
        <f t="shared" si="10"/>
        <v/>
      </c>
      <c r="P350" s="7"/>
      <c r="Q350" s="7"/>
      <c r="R350" s="19">
        <f t="shared" si="11"/>
        <v>0</v>
      </c>
    </row>
    <row r="351" spans="1:18" x14ac:dyDescent="0.2">
      <c r="A351" s="5"/>
      <c r="B351" s="6">
        <v>46255</v>
      </c>
      <c r="C351" s="7" t="s">
        <v>68</v>
      </c>
      <c r="D351" s="7" t="s">
        <v>2</v>
      </c>
      <c r="E351" s="7" t="s">
        <v>24</v>
      </c>
      <c r="F351" s="7"/>
      <c r="G351" s="7"/>
      <c r="H351" s="7">
        <v>400</v>
      </c>
      <c r="I351" s="7">
        <v>115</v>
      </c>
      <c r="J351" s="14">
        <v>0</v>
      </c>
      <c r="K351" s="14">
        <v>-46000</v>
      </c>
      <c r="L351" s="14">
        <v>-46000</v>
      </c>
      <c r="M351" s="7" t="s">
        <v>46</v>
      </c>
      <c r="N351" s="14"/>
      <c r="O351" s="17" t="str">
        <f t="shared" si="10"/>
        <v/>
      </c>
      <c r="P351" s="7"/>
      <c r="Q351" s="7"/>
      <c r="R351" s="19">
        <f t="shared" si="11"/>
        <v>0</v>
      </c>
    </row>
    <row r="352" spans="1:18" x14ac:dyDescent="0.2">
      <c r="A352" s="5"/>
      <c r="B352" s="6">
        <v>46255</v>
      </c>
      <c r="C352" s="7" t="s">
        <v>66</v>
      </c>
      <c r="D352" s="7" t="s">
        <v>2</v>
      </c>
      <c r="E352" s="7" t="s">
        <v>24</v>
      </c>
      <c r="F352" s="7"/>
      <c r="G352" s="7"/>
      <c r="H352" s="7">
        <v>200</v>
      </c>
      <c r="I352" s="7">
        <v>125</v>
      </c>
      <c r="J352" s="14">
        <v>0</v>
      </c>
      <c r="K352" s="14">
        <v>-25000</v>
      </c>
      <c r="L352" s="14">
        <v>-25000</v>
      </c>
      <c r="M352" s="7" t="s">
        <v>46</v>
      </c>
      <c r="N352" s="14"/>
      <c r="O352" s="17" t="str">
        <f t="shared" si="10"/>
        <v/>
      </c>
      <c r="P352" s="7"/>
      <c r="Q352" s="7"/>
      <c r="R352" s="19">
        <f t="shared" si="11"/>
        <v>0</v>
      </c>
    </row>
    <row r="353" spans="1:18" x14ac:dyDescent="0.2">
      <c r="A353" s="8">
        <v>57</v>
      </c>
      <c r="B353" s="9">
        <v>46255</v>
      </c>
      <c r="C353" s="8" t="s">
        <v>66</v>
      </c>
      <c r="D353" s="8" t="s">
        <v>43</v>
      </c>
      <c r="E353" s="8" t="s">
        <v>31</v>
      </c>
      <c r="F353" s="9">
        <v>46283</v>
      </c>
      <c r="G353" s="8">
        <v>135</v>
      </c>
      <c r="H353" s="8">
        <v>1</v>
      </c>
      <c r="I353" s="8">
        <v>4</v>
      </c>
      <c r="J353" s="15">
        <v>1</v>
      </c>
      <c r="K353" s="15">
        <v>356</v>
      </c>
      <c r="L353" s="15">
        <v>354.96</v>
      </c>
      <c r="M353" s="8" t="s">
        <v>69</v>
      </c>
      <c r="N353" s="15">
        <v>355</v>
      </c>
      <c r="O353" s="17">
        <f t="shared" si="10"/>
        <v>2.6293333333333332E-2</v>
      </c>
      <c r="P353" s="8"/>
      <c r="Q353" s="8">
        <v>28</v>
      </c>
      <c r="R353" s="19">
        <f t="shared" si="11"/>
        <v>13500</v>
      </c>
    </row>
    <row r="354" spans="1:18" x14ac:dyDescent="0.2">
      <c r="A354" s="8">
        <v>58</v>
      </c>
      <c r="B354" s="9">
        <v>46258</v>
      </c>
      <c r="C354" s="8" t="s">
        <v>39</v>
      </c>
      <c r="D354" s="8" t="s">
        <v>30</v>
      </c>
      <c r="E354" s="8" t="s">
        <v>31</v>
      </c>
      <c r="F354" s="9">
        <v>46283</v>
      </c>
      <c r="G354" s="8">
        <v>760</v>
      </c>
      <c r="H354" s="8">
        <v>1</v>
      </c>
      <c r="I354" s="8">
        <v>11</v>
      </c>
      <c r="J354" s="15">
        <v>1</v>
      </c>
      <c r="K354" s="15">
        <v>1147</v>
      </c>
      <c r="L354" s="15">
        <v>1146.1300000000001</v>
      </c>
      <c r="M354" s="8" t="s">
        <v>69</v>
      </c>
      <c r="N354" s="15">
        <v>1146</v>
      </c>
      <c r="O354" s="17">
        <f t="shared" si="10"/>
        <v>1.5080657894736843E-2</v>
      </c>
      <c r="P354" s="8">
        <v>22</v>
      </c>
      <c r="Q354" s="8">
        <v>25</v>
      </c>
      <c r="R354" s="19">
        <f t="shared" si="11"/>
        <v>76000</v>
      </c>
    </row>
    <row r="355" spans="1:18" x14ac:dyDescent="0.2">
      <c r="A355" s="8">
        <v>58</v>
      </c>
      <c r="B355" s="9">
        <v>46258</v>
      </c>
      <c r="C355" s="8" t="s">
        <v>75</v>
      </c>
      <c r="D355" s="8" t="s">
        <v>30</v>
      </c>
      <c r="E355" s="8" t="s">
        <v>31</v>
      </c>
      <c r="F355" s="9">
        <v>46283</v>
      </c>
      <c r="G355" s="8">
        <v>80</v>
      </c>
      <c r="H355" s="8">
        <v>2</v>
      </c>
      <c r="I355" s="8">
        <v>1</v>
      </c>
      <c r="J355" s="15">
        <v>1</v>
      </c>
      <c r="K355" s="15">
        <v>146</v>
      </c>
      <c r="L355" s="15">
        <v>144.62</v>
      </c>
      <c r="M355" s="8" t="s">
        <v>69</v>
      </c>
      <c r="N355" s="15">
        <v>145</v>
      </c>
      <c r="O355" s="17">
        <f t="shared" si="10"/>
        <v>9.0387499999999999E-3</v>
      </c>
      <c r="P355" s="8">
        <v>13</v>
      </c>
      <c r="Q355" s="8">
        <v>25</v>
      </c>
      <c r="R355" s="19">
        <f t="shared" si="11"/>
        <v>16000</v>
      </c>
    </row>
    <row r="356" spans="1:18" x14ac:dyDescent="0.2">
      <c r="A356" s="8">
        <v>58</v>
      </c>
      <c r="B356" s="9">
        <v>46258</v>
      </c>
      <c r="C356" s="8" t="s">
        <v>76</v>
      </c>
      <c r="D356" s="8" t="s">
        <v>30</v>
      </c>
      <c r="E356" s="8" t="s">
        <v>31</v>
      </c>
      <c r="F356" s="9">
        <v>46283</v>
      </c>
      <c r="G356" s="8">
        <v>39</v>
      </c>
      <c r="H356" s="8">
        <v>2</v>
      </c>
      <c r="I356" s="8">
        <v>1</v>
      </c>
      <c r="J356" s="15">
        <v>1</v>
      </c>
      <c r="K356" s="15">
        <v>174</v>
      </c>
      <c r="L356" s="15">
        <v>172.62</v>
      </c>
      <c r="M356" s="8" t="s">
        <v>69</v>
      </c>
      <c r="N356" s="15">
        <v>173</v>
      </c>
      <c r="O356" s="17">
        <f t="shared" si="10"/>
        <v>2.2130769230769232E-2</v>
      </c>
      <c r="P356" s="8">
        <v>33</v>
      </c>
      <c r="Q356" s="8">
        <v>25</v>
      </c>
      <c r="R356" s="19">
        <f t="shared" si="11"/>
        <v>7800</v>
      </c>
    </row>
    <row r="357" spans="1:18" x14ac:dyDescent="0.2">
      <c r="A357" s="8">
        <v>58</v>
      </c>
      <c r="B357" s="9">
        <v>46258</v>
      </c>
      <c r="C357" s="8" t="s">
        <v>76</v>
      </c>
      <c r="D357" s="8" t="s">
        <v>30</v>
      </c>
      <c r="E357" s="8" t="s">
        <v>31</v>
      </c>
      <c r="F357" s="9">
        <v>46283</v>
      </c>
      <c r="G357" s="8">
        <v>39</v>
      </c>
      <c r="H357" s="8">
        <v>2</v>
      </c>
      <c r="I357" s="8">
        <v>1</v>
      </c>
      <c r="J357" s="15">
        <v>1</v>
      </c>
      <c r="K357" s="15">
        <v>174</v>
      </c>
      <c r="L357" s="15">
        <v>172.62</v>
      </c>
      <c r="M357" s="8" t="s">
        <v>69</v>
      </c>
      <c r="N357" s="15">
        <v>173</v>
      </c>
      <c r="O357" s="17">
        <f t="shared" si="10"/>
        <v>2.2130769230769232E-2</v>
      </c>
      <c r="P357" s="8">
        <v>33</v>
      </c>
      <c r="Q357" s="8">
        <v>25</v>
      </c>
      <c r="R357" s="19">
        <f t="shared" si="11"/>
        <v>7800</v>
      </c>
    </row>
    <row r="358" spans="1:18" x14ac:dyDescent="0.2">
      <c r="A358" s="8">
        <v>58</v>
      </c>
      <c r="B358" s="9">
        <v>46258</v>
      </c>
      <c r="C358" s="8" t="s">
        <v>77</v>
      </c>
      <c r="D358" s="8" t="s">
        <v>30</v>
      </c>
      <c r="E358" s="8" t="s">
        <v>31</v>
      </c>
      <c r="F358" s="9">
        <v>46283</v>
      </c>
      <c r="G358" s="8">
        <v>220</v>
      </c>
      <c r="H358" s="8">
        <v>2</v>
      </c>
      <c r="I358" s="8">
        <v>2</v>
      </c>
      <c r="J358" s="15">
        <v>1</v>
      </c>
      <c r="K358" s="15">
        <v>394</v>
      </c>
      <c r="L358" s="15">
        <v>392.6</v>
      </c>
      <c r="M358" s="8" t="s">
        <v>69</v>
      </c>
      <c r="N358" s="15">
        <v>393</v>
      </c>
      <c r="O358" s="17">
        <f t="shared" si="10"/>
        <v>8.9227272727272731E-3</v>
      </c>
      <c r="P358" s="8">
        <v>13</v>
      </c>
      <c r="Q358" s="8">
        <v>25</v>
      </c>
      <c r="R358" s="19">
        <f t="shared" si="11"/>
        <v>44000</v>
      </c>
    </row>
    <row r="359" spans="1:18" x14ac:dyDescent="0.2">
      <c r="A359" s="8">
        <v>58</v>
      </c>
      <c r="B359" s="9">
        <v>46258</v>
      </c>
      <c r="C359" s="8" t="s">
        <v>78</v>
      </c>
      <c r="D359" s="8" t="s">
        <v>30</v>
      </c>
      <c r="E359" s="8" t="s">
        <v>31</v>
      </c>
      <c r="F359" s="9">
        <v>46283</v>
      </c>
      <c r="G359" s="8">
        <v>195</v>
      </c>
      <c r="H359" s="8">
        <v>1</v>
      </c>
      <c r="I359" s="8">
        <v>4</v>
      </c>
      <c r="J359" s="15">
        <v>1</v>
      </c>
      <c r="K359" s="15">
        <v>363</v>
      </c>
      <c r="L359" s="15">
        <v>361.95</v>
      </c>
      <c r="M359" s="8" t="s">
        <v>69</v>
      </c>
      <c r="N359" s="15">
        <v>362</v>
      </c>
      <c r="O359" s="17">
        <f t="shared" si="10"/>
        <v>1.8561538461538463E-2</v>
      </c>
      <c r="P359" s="8">
        <v>27</v>
      </c>
      <c r="Q359" s="8">
        <v>25</v>
      </c>
      <c r="R359" s="19">
        <f t="shared" si="11"/>
        <v>19500</v>
      </c>
    </row>
    <row r="360" spans="1:18" x14ac:dyDescent="0.2">
      <c r="A360" s="8">
        <v>58</v>
      </c>
      <c r="B360" s="9">
        <v>46258</v>
      </c>
      <c r="C360" s="8" t="s">
        <v>78</v>
      </c>
      <c r="D360" s="8" t="s">
        <v>30</v>
      </c>
      <c r="E360" s="8" t="s">
        <v>31</v>
      </c>
      <c r="F360" s="9">
        <v>46283</v>
      </c>
      <c r="G360" s="8">
        <v>195</v>
      </c>
      <c r="H360" s="8">
        <v>1</v>
      </c>
      <c r="I360" s="8">
        <v>4</v>
      </c>
      <c r="J360" s="15">
        <v>0</v>
      </c>
      <c r="K360" s="15">
        <v>363</v>
      </c>
      <c r="L360" s="15">
        <v>362.65</v>
      </c>
      <c r="M360" s="8" t="s">
        <v>69</v>
      </c>
      <c r="N360" s="15">
        <v>363</v>
      </c>
      <c r="O360" s="17">
        <f t="shared" si="10"/>
        <v>1.8597435897435895E-2</v>
      </c>
      <c r="P360" s="8">
        <v>27</v>
      </c>
      <c r="Q360" s="8">
        <v>25</v>
      </c>
      <c r="R360" s="19">
        <f t="shared" si="11"/>
        <v>19500</v>
      </c>
    </row>
    <row r="361" spans="1:18" x14ac:dyDescent="0.2">
      <c r="A361" s="8">
        <v>58</v>
      </c>
      <c r="B361" s="9">
        <v>46258</v>
      </c>
      <c r="C361" s="8" t="s">
        <v>63</v>
      </c>
      <c r="D361" s="8" t="s">
        <v>30</v>
      </c>
      <c r="E361" s="8" t="s">
        <v>31</v>
      </c>
      <c r="F361" s="9">
        <v>46283</v>
      </c>
      <c r="G361" s="8">
        <v>58</v>
      </c>
      <c r="H361" s="8">
        <v>1</v>
      </c>
      <c r="I361" s="8">
        <v>1</v>
      </c>
      <c r="J361" s="15">
        <v>1</v>
      </c>
      <c r="K361" s="15">
        <v>69</v>
      </c>
      <c r="L361" s="15">
        <v>67.959999999999994</v>
      </c>
      <c r="M361" s="8" t="s">
        <v>69</v>
      </c>
      <c r="N361" s="15">
        <v>68</v>
      </c>
      <c r="O361" s="17">
        <f t="shared" si="10"/>
        <v>1.1717241379310343E-2</v>
      </c>
      <c r="P361" s="8">
        <v>18</v>
      </c>
      <c r="Q361" s="8">
        <v>25</v>
      </c>
      <c r="R361" s="19">
        <f t="shared" si="11"/>
        <v>5800</v>
      </c>
    </row>
    <row r="362" spans="1:18" x14ac:dyDescent="0.2">
      <c r="A362" s="8">
        <v>58</v>
      </c>
      <c r="B362" s="9">
        <v>46258</v>
      </c>
      <c r="C362" s="8" t="s">
        <v>63</v>
      </c>
      <c r="D362" s="8" t="s">
        <v>30</v>
      </c>
      <c r="E362" s="8" t="s">
        <v>31</v>
      </c>
      <c r="F362" s="9">
        <v>46283</v>
      </c>
      <c r="G362" s="8">
        <v>58</v>
      </c>
      <c r="H362" s="8">
        <v>1</v>
      </c>
      <c r="I362" s="8">
        <v>1</v>
      </c>
      <c r="J362" s="15">
        <v>0</v>
      </c>
      <c r="K362" s="15">
        <v>69</v>
      </c>
      <c r="L362" s="15">
        <v>68.66</v>
      </c>
      <c r="M362" s="8" t="s">
        <v>69</v>
      </c>
      <c r="N362" s="15">
        <v>69</v>
      </c>
      <c r="O362" s="17">
        <f t="shared" si="10"/>
        <v>1.1837931034482758E-2</v>
      </c>
      <c r="P362" s="8">
        <v>18</v>
      </c>
      <c r="Q362" s="8">
        <v>25</v>
      </c>
      <c r="R362" s="19">
        <f t="shared" si="11"/>
        <v>5800</v>
      </c>
    </row>
    <row r="363" spans="1:18" x14ac:dyDescent="0.2">
      <c r="A363" s="8">
        <v>58</v>
      </c>
      <c r="B363" s="9">
        <v>46258</v>
      </c>
      <c r="C363" s="8" t="s">
        <v>72</v>
      </c>
      <c r="D363" s="8" t="s">
        <v>30</v>
      </c>
      <c r="E363" s="8" t="s">
        <v>31</v>
      </c>
      <c r="F363" s="9">
        <v>46283</v>
      </c>
      <c r="G363" s="8">
        <v>220</v>
      </c>
      <c r="H363" s="8">
        <v>1</v>
      </c>
      <c r="I363" s="8">
        <v>2</v>
      </c>
      <c r="J363" s="15">
        <v>1</v>
      </c>
      <c r="K363" s="15">
        <v>204</v>
      </c>
      <c r="L363" s="15">
        <v>202.95</v>
      </c>
      <c r="M363" s="8" t="s">
        <v>69</v>
      </c>
      <c r="N363" s="15">
        <v>203</v>
      </c>
      <c r="O363" s="17">
        <f t="shared" si="10"/>
        <v>9.2249999999999988E-3</v>
      </c>
      <c r="P363" s="8">
        <v>14</v>
      </c>
      <c r="Q363" s="8">
        <v>25</v>
      </c>
      <c r="R363" s="19">
        <f t="shared" si="11"/>
        <v>22000</v>
      </c>
    </row>
    <row r="364" spans="1:18" x14ac:dyDescent="0.2">
      <c r="A364" s="8">
        <v>58</v>
      </c>
      <c r="B364" s="9">
        <v>46258</v>
      </c>
      <c r="C364" s="8" t="s">
        <v>72</v>
      </c>
      <c r="D364" s="8" t="s">
        <v>30</v>
      </c>
      <c r="E364" s="8" t="s">
        <v>31</v>
      </c>
      <c r="F364" s="9">
        <v>46283</v>
      </c>
      <c r="G364" s="8">
        <v>220</v>
      </c>
      <c r="H364" s="8">
        <v>1</v>
      </c>
      <c r="I364" s="8">
        <v>2</v>
      </c>
      <c r="J364" s="15">
        <v>0</v>
      </c>
      <c r="K364" s="15">
        <v>204</v>
      </c>
      <c r="L364" s="15">
        <v>203.65</v>
      </c>
      <c r="M364" s="8" t="s">
        <v>69</v>
      </c>
      <c r="N364" s="15">
        <v>204</v>
      </c>
      <c r="O364" s="17">
        <f t="shared" si="10"/>
        <v>9.256818181818182E-3</v>
      </c>
      <c r="P364" s="8">
        <v>14</v>
      </c>
      <c r="Q364" s="8">
        <v>25</v>
      </c>
      <c r="R364" s="19">
        <f t="shared" si="11"/>
        <v>22000</v>
      </c>
    </row>
    <row r="365" spans="1:18" x14ac:dyDescent="0.2">
      <c r="A365" s="8">
        <v>58</v>
      </c>
      <c r="B365" s="9">
        <v>46258</v>
      </c>
      <c r="C365" s="8" t="s">
        <v>79</v>
      </c>
      <c r="D365" s="8" t="s">
        <v>30</v>
      </c>
      <c r="E365" s="8" t="s">
        <v>31</v>
      </c>
      <c r="F365" s="9">
        <v>46283</v>
      </c>
      <c r="G365" s="8">
        <v>60</v>
      </c>
      <c r="H365" s="8">
        <v>2</v>
      </c>
      <c r="I365" s="8">
        <v>1</v>
      </c>
      <c r="J365" s="15">
        <v>1</v>
      </c>
      <c r="K365" s="15">
        <v>166</v>
      </c>
      <c r="L365" s="15">
        <v>164.62</v>
      </c>
      <c r="M365" s="8" t="s">
        <v>69</v>
      </c>
      <c r="N365" s="15">
        <v>165</v>
      </c>
      <c r="O365" s="17">
        <f t="shared" si="10"/>
        <v>1.3718333333333334E-2</v>
      </c>
      <c r="P365" s="8">
        <v>20</v>
      </c>
      <c r="Q365" s="8">
        <v>25</v>
      </c>
      <c r="R365" s="19">
        <f t="shared" si="11"/>
        <v>12000</v>
      </c>
    </row>
    <row r="366" spans="1:18" x14ac:dyDescent="0.2">
      <c r="A366" s="8">
        <v>58</v>
      </c>
      <c r="B366" s="9">
        <v>46258</v>
      </c>
      <c r="C366" s="8" t="s">
        <v>80</v>
      </c>
      <c r="D366" s="8" t="s">
        <v>30</v>
      </c>
      <c r="E366" s="8" t="s">
        <v>31</v>
      </c>
      <c r="F366" s="9">
        <v>46283</v>
      </c>
      <c r="G366" s="8">
        <v>28</v>
      </c>
      <c r="H366" s="8">
        <v>2</v>
      </c>
      <c r="I366" s="8">
        <v>0</v>
      </c>
      <c r="J366" s="15">
        <v>1</v>
      </c>
      <c r="K366" s="15">
        <v>86</v>
      </c>
      <c r="L366" s="15">
        <v>84.63</v>
      </c>
      <c r="M366" s="8" t="s">
        <v>69</v>
      </c>
      <c r="N366" s="15">
        <v>85</v>
      </c>
      <c r="O366" s="17">
        <f t="shared" si="10"/>
        <v>1.5112499999999999E-2</v>
      </c>
      <c r="P366" s="8">
        <v>23</v>
      </c>
      <c r="Q366" s="8">
        <v>25</v>
      </c>
      <c r="R366" s="19">
        <f t="shared" si="11"/>
        <v>5600</v>
      </c>
    </row>
    <row r="367" spans="1:18" x14ac:dyDescent="0.2">
      <c r="A367" s="8">
        <v>58</v>
      </c>
      <c r="B367" s="9">
        <v>46258</v>
      </c>
      <c r="C367" s="8" t="s">
        <v>80</v>
      </c>
      <c r="D367" s="8" t="s">
        <v>30</v>
      </c>
      <c r="E367" s="8" t="s">
        <v>31</v>
      </c>
      <c r="F367" s="9">
        <v>46283</v>
      </c>
      <c r="G367" s="8">
        <v>28</v>
      </c>
      <c r="H367" s="8">
        <v>2</v>
      </c>
      <c r="I367" s="8">
        <v>0</v>
      </c>
      <c r="J367" s="15">
        <v>1</v>
      </c>
      <c r="K367" s="15">
        <v>86</v>
      </c>
      <c r="L367" s="15">
        <v>84.63</v>
      </c>
      <c r="M367" s="8" t="s">
        <v>69</v>
      </c>
      <c r="N367" s="15">
        <v>85</v>
      </c>
      <c r="O367" s="17">
        <f t="shared" si="10"/>
        <v>1.5112499999999999E-2</v>
      </c>
      <c r="P367" s="8">
        <v>23</v>
      </c>
      <c r="Q367" s="8">
        <v>25</v>
      </c>
      <c r="R367" s="19">
        <f t="shared" si="11"/>
        <v>5600</v>
      </c>
    </row>
    <row r="368" spans="1:18" x14ac:dyDescent="0.2">
      <c r="A368" s="8">
        <v>58</v>
      </c>
      <c r="B368" s="9">
        <v>46258</v>
      </c>
      <c r="C368" s="8" t="s">
        <v>81</v>
      </c>
      <c r="D368" s="8" t="s">
        <v>43</v>
      </c>
      <c r="E368" s="8" t="s">
        <v>31</v>
      </c>
      <c r="F368" s="9">
        <v>46283</v>
      </c>
      <c r="G368" s="8">
        <v>10</v>
      </c>
      <c r="H368" s="8">
        <v>4</v>
      </c>
      <c r="I368" s="8">
        <v>0</v>
      </c>
      <c r="J368" s="15">
        <v>2</v>
      </c>
      <c r="K368" s="15">
        <v>28</v>
      </c>
      <c r="L368" s="15">
        <v>25.85</v>
      </c>
      <c r="M368" s="8" t="s">
        <v>69</v>
      </c>
      <c r="N368" s="15">
        <v>26</v>
      </c>
      <c r="O368" s="17">
        <f t="shared" si="10"/>
        <v>6.4625000000000004E-3</v>
      </c>
      <c r="P368" s="8"/>
      <c r="Q368" s="8">
        <v>25</v>
      </c>
      <c r="R368" s="19">
        <f t="shared" si="11"/>
        <v>4000</v>
      </c>
    </row>
    <row r="369" spans="1:18" x14ac:dyDescent="0.2">
      <c r="A369" s="8">
        <v>58</v>
      </c>
      <c r="B369" s="9">
        <v>46258</v>
      </c>
      <c r="C369" s="8" t="s">
        <v>81</v>
      </c>
      <c r="D369" s="8" t="s">
        <v>43</v>
      </c>
      <c r="E369" s="8" t="s">
        <v>31</v>
      </c>
      <c r="F369" s="9">
        <v>46283</v>
      </c>
      <c r="G369" s="8">
        <v>10</v>
      </c>
      <c r="H369" s="8">
        <v>2</v>
      </c>
      <c r="I369" s="8">
        <v>0</v>
      </c>
      <c r="J369" s="15">
        <v>1</v>
      </c>
      <c r="K369" s="15">
        <v>14</v>
      </c>
      <c r="L369" s="15">
        <v>12.93</v>
      </c>
      <c r="M369" s="8" t="s">
        <v>69</v>
      </c>
      <c r="N369" s="15">
        <v>13</v>
      </c>
      <c r="O369" s="17">
        <f t="shared" si="10"/>
        <v>6.4650000000000003E-3</v>
      </c>
      <c r="P369" s="8"/>
      <c r="Q369" s="8">
        <v>25</v>
      </c>
      <c r="R369" s="19">
        <f t="shared" si="11"/>
        <v>2000</v>
      </c>
    </row>
    <row r="370" spans="1:18" x14ac:dyDescent="0.2">
      <c r="A370" s="8">
        <v>58</v>
      </c>
      <c r="B370" s="9">
        <v>46258</v>
      </c>
      <c r="C370" s="8" t="s">
        <v>81</v>
      </c>
      <c r="D370" s="8" t="s">
        <v>43</v>
      </c>
      <c r="E370" s="8" t="s">
        <v>31</v>
      </c>
      <c r="F370" s="9">
        <v>46283</v>
      </c>
      <c r="G370" s="8">
        <v>10</v>
      </c>
      <c r="H370" s="8">
        <v>2</v>
      </c>
      <c r="I370" s="8">
        <v>0</v>
      </c>
      <c r="J370" s="15">
        <v>1</v>
      </c>
      <c r="K370" s="15">
        <v>14</v>
      </c>
      <c r="L370" s="15">
        <v>12.93</v>
      </c>
      <c r="M370" s="8" t="s">
        <v>69</v>
      </c>
      <c r="N370" s="15">
        <v>13</v>
      </c>
      <c r="O370" s="17">
        <f t="shared" si="10"/>
        <v>6.4650000000000003E-3</v>
      </c>
      <c r="P370" s="8"/>
      <c r="Q370" s="8">
        <v>25</v>
      </c>
      <c r="R370" s="19">
        <f t="shared" si="11"/>
        <v>2000</v>
      </c>
    </row>
    <row r="371" spans="1:18" x14ac:dyDescent="0.2">
      <c r="A371" s="8">
        <v>58</v>
      </c>
      <c r="B371" s="9">
        <v>46258</v>
      </c>
      <c r="C371" s="8" t="s">
        <v>81</v>
      </c>
      <c r="D371" s="8" t="s">
        <v>43</v>
      </c>
      <c r="E371" s="8" t="s">
        <v>31</v>
      </c>
      <c r="F371" s="9">
        <v>46283</v>
      </c>
      <c r="G371" s="8">
        <v>10</v>
      </c>
      <c r="H371" s="8">
        <v>2</v>
      </c>
      <c r="I371" s="8">
        <v>0</v>
      </c>
      <c r="J371" s="15">
        <v>1</v>
      </c>
      <c r="K371" s="15">
        <v>14</v>
      </c>
      <c r="L371" s="15">
        <v>12.93</v>
      </c>
      <c r="M371" s="8" t="s">
        <v>69</v>
      </c>
      <c r="N371" s="15">
        <v>13</v>
      </c>
      <c r="O371" s="17">
        <f t="shared" si="10"/>
        <v>6.4650000000000003E-3</v>
      </c>
      <c r="P371" s="8"/>
      <c r="Q371" s="8">
        <v>25</v>
      </c>
      <c r="R371" s="19">
        <f t="shared" si="11"/>
        <v>2000</v>
      </c>
    </row>
    <row r="372" spans="1:18" x14ac:dyDescent="0.2">
      <c r="A372" s="8">
        <v>58</v>
      </c>
      <c r="B372" s="9">
        <v>46258</v>
      </c>
      <c r="C372" s="8" t="s">
        <v>38</v>
      </c>
      <c r="D372" s="8" t="s">
        <v>43</v>
      </c>
      <c r="E372" s="8" t="s">
        <v>31</v>
      </c>
      <c r="F372" s="9">
        <v>46283</v>
      </c>
      <c r="G372" s="8">
        <v>380</v>
      </c>
      <c r="H372" s="8">
        <v>1</v>
      </c>
      <c r="I372" s="8">
        <v>2</v>
      </c>
      <c r="J372" s="15">
        <v>1</v>
      </c>
      <c r="K372" s="15">
        <v>183</v>
      </c>
      <c r="L372" s="15">
        <v>181.96</v>
      </c>
      <c r="M372" s="8" t="s">
        <v>69</v>
      </c>
      <c r="N372" s="15">
        <v>182</v>
      </c>
      <c r="O372" s="17">
        <f t="shared" si="10"/>
        <v>4.788421052631579E-3</v>
      </c>
      <c r="P372" s="8"/>
      <c r="Q372" s="8">
        <v>25</v>
      </c>
      <c r="R372" s="19">
        <f t="shared" si="11"/>
        <v>38000</v>
      </c>
    </row>
    <row r="373" spans="1:18" x14ac:dyDescent="0.2">
      <c r="A373" s="8">
        <v>58</v>
      </c>
      <c r="B373" s="9">
        <v>46258</v>
      </c>
      <c r="C373" s="8" t="s">
        <v>39</v>
      </c>
      <c r="D373" s="8" t="s">
        <v>43</v>
      </c>
      <c r="E373" s="8" t="s">
        <v>31</v>
      </c>
      <c r="F373" s="9">
        <v>46283</v>
      </c>
      <c r="G373" s="8">
        <v>1</v>
      </c>
      <c r="H373" s="8">
        <v>1</v>
      </c>
      <c r="I373" s="8">
        <v>25</v>
      </c>
      <c r="J373" s="15">
        <v>1</v>
      </c>
      <c r="K373" s="15">
        <v>2530</v>
      </c>
      <c r="L373" s="15">
        <v>2528.91</v>
      </c>
      <c r="M373" s="8" t="s">
        <v>69</v>
      </c>
      <c r="N373" s="15">
        <v>2529</v>
      </c>
      <c r="O373" s="17">
        <f t="shared" si="10"/>
        <v>25.289099999999998</v>
      </c>
      <c r="P373" s="8"/>
      <c r="Q373" s="8">
        <v>25</v>
      </c>
      <c r="R373" s="19">
        <f t="shared" si="11"/>
        <v>100</v>
      </c>
    </row>
    <row r="374" spans="1:18" x14ac:dyDescent="0.2">
      <c r="A374" s="8">
        <v>58</v>
      </c>
      <c r="B374" s="9">
        <v>46258</v>
      </c>
      <c r="C374" s="8" t="s">
        <v>66</v>
      </c>
      <c r="D374" s="8" t="s">
        <v>43</v>
      </c>
      <c r="E374" s="8" t="s">
        <v>31</v>
      </c>
      <c r="F374" s="9">
        <v>46283</v>
      </c>
      <c r="G374" s="8">
        <v>125</v>
      </c>
      <c r="H374" s="8">
        <v>2</v>
      </c>
      <c r="I374" s="8">
        <v>7</v>
      </c>
      <c r="J374" s="15">
        <v>1</v>
      </c>
      <c r="K374" s="15">
        <v>1368</v>
      </c>
      <c r="L374" s="15">
        <v>1366.6</v>
      </c>
      <c r="M374" s="8" t="s">
        <v>69</v>
      </c>
      <c r="N374" s="15">
        <v>1367</v>
      </c>
      <c r="O374" s="17">
        <f t="shared" si="10"/>
        <v>5.4663999999999997E-2</v>
      </c>
      <c r="P374" s="8"/>
      <c r="Q374" s="8">
        <v>25</v>
      </c>
      <c r="R374" s="19">
        <f t="shared" si="11"/>
        <v>25000</v>
      </c>
    </row>
    <row r="375" spans="1:18" x14ac:dyDescent="0.2">
      <c r="A375" s="8">
        <v>58</v>
      </c>
      <c r="B375" s="9">
        <v>46258</v>
      </c>
      <c r="C375" s="8" t="s">
        <v>67</v>
      </c>
      <c r="D375" s="8" t="s">
        <v>43</v>
      </c>
      <c r="E375" s="8" t="s">
        <v>31</v>
      </c>
      <c r="F375" s="9">
        <v>46283</v>
      </c>
      <c r="G375" s="8">
        <v>60</v>
      </c>
      <c r="H375" s="8">
        <v>1</v>
      </c>
      <c r="I375" s="8">
        <v>2</v>
      </c>
      <c r="J375" s="15">
        <v>1</v>
      </c>
      <c r="K375" s="15">
        <v>211</v>
      </c>
      <c r="L375" s="15">
        <v>209.95</v>
      </c>
      <c r="M375" s="8" t="s">
        <v>69</v>
      </c>
      <c r="N375" s="15">
        <v>210</v>
      </c>
      <c r="O375" s="17">
        <f t="shared" si="10"/>
        <v>3.4991666666666664E-2</v>
      </c>
      <c r="P375" s="8"/>
      <c r="Q375" s="8">
        <v>25</v>
      </c>
      <c r="R375" s="19">
        <f t="shared" si="11"/>
        <v>6000</v>
      </c>
    </row>
    <row r="376" spans="1:18" x14ac:dyDescent="0.2">
      <c r="A376" s="8">
        <v>58</v>
      </c>
      <c r="B376" s="9">
        <v>46258</v>
      </c>
      <c r="C376" s="8" t="s">
        <v>67</v>
      </c>
      <c r="D376" s="8" t="s">
        <v>43</v>
      </c>
      <c r="E376" s="8" t="s">
        <v>31</v>
      </c>
      <c r="F376" s="9">
        <v>46283</v>
      </c>
      <c r="G376" s="8">
        <v>60</v>
      </c>
      <c r="H376" s="8">
        <v>1</v>
      </c>
      <c r="I376" s="8">
        <v>2</v>
      </c>
      <c r="J376" s="15">
        <v>0</v>
      </c>
      <c r="K376" s="15">
        <v>210</v>
      </c>
      <c r="L376" s="15">
        <v>209.65</v>
      </c>
      <c r="M376" s="8" t="s">
        <v>69</v>
      </c>
      <c r="N376" s="15">
        <v>210</v>
      </c>
      <c r="O376" s="17">
        <f t="shared" si="10"/>
        <v>3.4941666666666669E-2</v>
      </c>
      <c r="P376" s="8"/>
      <c r="Q376" s="8">
        <v>25</v>
      </c>
      <c r="R376" s="19">
        <f t="shared" si="11"/>
        <v>6000</v>
      </c>
    </row>
    <row r="377" spans="1:18" x14ac:dyDescent="0.2">
      <c r="A377" s="8">
        <v>58</v>
      </c>
      <c r="B377" s="9">
        <v>46258</v>
      </c>
      <c r="C377" s="8" t="s">
        <v>68</v>
      </c>
      <c r="D377" s="8" t="s">
        <v>43</v>
      </c>
      <c r="E377" s="8" t="s">
        <v>31</v>
      </c>
      <c r="F377" s="9">
        <v>46283</v>
      </c>
      <c r="G377" s="8">
        <v>115</v>
      </c>
      <c r="H377" s="8">
        <v>2</v>
      </c>
      <c r="I377" s="8">
        <v>4</v>
      </c>
      <c r="J377" s="15">
        <v>1</v>
      </c>
      <c r="K377" s="15">
        <v>728</v>
      </c>
      <c r="L377" s="15">
        <v>726.61</v>
      </c>
      <c r="M377" s="8" t="s">
        <v>69</v>
      </c>
      <c r="N377" s="15">
        <v>727</v>
      </c>
      <c r="O377" s="17">
        <f t="shared" si="10"/>
        <v>3.1591739130434782E-2</v>
      </c>
      <c r="P377" s="8"/>
      <c r="Q377" s="8">
        <v>25</v>
      </c>
      <c r="R377" s="19">
        <f t="shared" si="11"/>
        <v>23000</v>
      </c>
    </row>
    <row r="378" spans="1:18" x14ac:dyDescent="0.2">
      <c r="A378" s="8">
        <v>58</v>
      </c>
      <c r="B378" s="9">
        <v>46258</v>
      </c>
      <c r="C378" s="8" t="s">
        <v>68</v>
      </c>
      <c r="D378" s="8" t="s">
        <v>43</v>
      </c>
      <c r="E378" s="8" t="s">
        <v>31</v>
      </c>
      <c r="F378" s="9">
        <v>46283</v>
      </c>
      <c r="G378" s="8">
        <v>115</v>
      </c>
      <c r="H378" s="8">
        <v>2</v>
      </c>
      <c r="I378" s="8">
        <v>4</v>
      </c>
      <c r="J378" s="15">
        <v>1</v>
      </c>
      <c r="K378" s="15">
        <v>728</v>
      </c>
      <c r="L378" s="15">
        <v>726.61</v>
      </c>
      <c r="M378" s="8" t="s">
        <v>69</v>
      </c>
      <c r="N378" s="15">
        <v>727</v>
      </c>
      <c r="O378" s="17">
        <f t="shared" si="10"/>
        <v>3.1591739130434782E-2</v>
      </c>
      <c r="P378" s="8"/>
      <c r="Q378" s="8">
        <v>25</v>
      </c>
      <c r="R378" s="19">
        <f t="shared" si="11"/>
        <v>23000</v>
      </c>
    </row>
    <row r="379" spans="1:18" x14ac:dyDescent="0.2">
      <c r="A379" s="10">
        <v>59</v>
      </c>
      <c r="B379" s="11">
        <v>46273</v>
      </c>
      <c r="C379" s="10" t="s">
        <v>65</v>
      </c>
      <c r="D379" s="10" t="s">
        <v>30</v>
      </c>
      <c r="E379" s="10" t="s">
        <v>31</v>
      </c>
      <c r="F379" s="11">
        <v>46283</v>
      </c>
      <c r="G379" s="10">
        <v>210</v>
      </c>
      <c r="H379" s="10">
        <v>4</v>
      </c>
      <c r="I379" s="10">
        <v>2</v>
      </c>
      <c r="J379" s="16">
        <v>3</v>
      </c>
      <c r="K379" s="16">
        <v>888</v>
      </c>
      <c r="L379" s="16">
        <v>885.18</v>
      </c>
      <c r="M379" s="10" t="s">
        <v>69</v>
      </c>
      <c r="N379" s="16">
        <v>885</v>
      </c>
      <c r="O379" s="17">
        <f t="shared" si="10"/>
        <v>1.0537857142857142E-2</v>
      </c>
      <c r="P379" s="10">
        <v>39</v>
      </c>
      <c r="Q379" s="10">
        <v>10</v>
      </c>
      <c r="R379" s="19">
        <f t="shared" si="11"/>
        <v>84000</v>
      </c>
    </row>
    <row r="380" spans="1:18" x14ac:dyDescent="0.2">
      <c r="A380" s="5">
        <v>60</v>
      </c>
      <c r="B380" s="6">
        <v>46279</v>
      </c>
      <c r="C380" s="7" t="s">
        <v>65</v>
      </c>
      <c r="D380" s="7" t="s">
        <v>30</v>
      </c>
      <c r="E380" s="7" t="s">
        <v>31</v>
      </c>
      <c r="F380" s="6">
        <v>46283</v>
      </c>
      <c r="G380" s="7">
        <v>200</v>
      </c>
      <c r="H380" s="7">
        <v>1</v>
      </c>
      <c r="I380" s="7">
        <v>3</v>
      </c>
      <c r="J380" s="14">
        <v>1</v>
      </c>
      <c r="K380" s="14">
        <v>275</v>
      </c>
      <c r="L380" s="14">
        <v>273.94</v>
      </c>
      <c r="M380" s="7" t="s">
        <v>69</v>
      </c>
      <c r="N380" s="14">
        <v>274</v>
      </c>
      <c r="O380" s="17">
        <f t="shared" si="10"/>
        <v>1.3696999999999999E-2</v>
      </c>
      <c r="P380" s="7">
        <v>125</v>
      </c>
      <c r="Q380" s="7">
        <v>4</v>
      </c>
      <c r="R380" s="19">
        <f t="shared" si="11"/>
        <v>20000</v>
      </c>
    </row>
    <row r="381" spans="1:18" x14ac:dyDescent="0.2">
      <c r="A381" s="10">
        <v>61</v>
      </c>
      <c r="B381" s="11">
        <v>46283</v>
      </c>
      <c r="C381" s="10" t="s">
        <v>72</v>
      </c>
      <c r="D381" s="10" t="s">
        <v>2</v>
      </c>
      <c r="E381" s="10" t="s">
        <v>24</v>
      </c>
      <c r="H381" s="10">
        <v>200</v>
      </c>
      <c r="I381" s="10">
        <v>220</v>
      </c>
      <c r="L381" s="16">
        <v>0</v>
      </c>
      <c r="M381" s="10" t="s">
        <v>69</v>
      </c>
      <c r="O381" s="17" t="str">
        <f t="shared" si="10"/>
        <v/>
      </c>
      <c r="R381" s="19">
        <f t="shared" si="11"/>
        <v>0</v>
      </c>
    </row>
    <row r="382" spans="1:18" x14ac:dyDescent="0.2">
      <c r="A382" s="10">
        <v>61</v>
      </c>
      <c r="B382" s="11">
        <v>46283</v>
      </c>
      <c r="C382" s="10" t="s">
        <v>72</v>
      </c>
      <c r="D382" s="10" t="s">
        <v>43</v>
      </c>
      <c r="E382" s="10" t="s">
        <v>31</v>
      </c>
      <c r="F382" s="11">
        <v>46346</v>
      </c>
      <c r="G382" s="10">
        <v>220</v>
      </c>
      <c r="H382" s="10">
        <v>1</v>
      </c>
      <c r="I382" s="10">
        <v>3</v>
      </c>
      <c r="J382" s="16">
        <v>0</v>
      </c>
      <c r="K382" s="16">
        <v>309</v>
      </c>
      <c r="L382" s="16">
        <v>308.64999999999998</v>
      </c>
      <c r="M382" s="10" t="s">
        <v>69</v>
      </c>
      <c r="N382" s="16">
        <v>309</v>
      </c>
      <c r="O382" s="17">
        <f t="shared" si="10"/>
        <v>1.4029545454545454E-2</v>
      </c>
      <c r="Q382" s="10">
        <v>63</v>
      </c>
      <c r="R382" s="19">
        <f t="shared" si="11"/>
        <v>22000</v>
      </c>
    </row>
    <row r="383" spans="1:18" x14ac:dyDescent="0.2">
      <c r="A383" s="10">
        <v>61</v>
      </c>
      <c r="B383" s="12">
        <v>46283</v>
      </c>
      <c r="C383" s="10" t="s">
        <v>72</v>
      </c>
      <c r="D383" s="10" t="s">
        <v>43</v>
      </c>
      <c r="E383" s="10" t="s">
        <v>31</v>
      </c>
      <c r="F383" s="11">
        <v>46346</v>
      </c>
      <c r="G383" s="10">
        <v>220</v>
      </c>
      <c r="H383" s="10">
        <v>1</v>
      </c>
      <c r="I383" s="10">
        <v>3</v>
      </c>
      <c r="J383" s="16">
        <v>1</v>
      </c>
      <c r="K383" s="16">
        <v>313</v>
      </c>
      <c r="L383" s="16">
        <v>311.95</v>
      </c>
      <c r="M383" s="10" t="s">
        <v>69</v>
      </c>
      <c r="N383" s="16">
        <v>312</v>
      </c>
      <c r="O383" s="17">
        <f t="shared" si="10"/>
        <v>1.4179545454545453E-2</v>
      </c>
      <c r="Q383" s="10">
        <v>63</v>
      </c>
      <c r="R383" s="19">
        <f t="shared" si="11"/>
        <v>22000</v>
      </c>
    </row>
  </sheetData>
  <autoFilter ref="A1:R383" xr:uid="{84B68E4B-A73B-44DA-9C52-4C9814DDFC3B}">
    <sortState xmlns:xlrd2="http://schemas.microsoft.com/office/spreadsheetml/2017/richdata2" ref="A2:R383">
      <sortCondition ref="B1:B38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Diversificación</vt:lpstr>
      <vt:lpstr>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Ruiz Lozano</dc:creator>
  <cp:lastModifiedBy>Miguel Angel Ruiz Lozano</cp:lastModifiedBy>
  <dcterms:created xsi:type="dcterms:W3CDTF">2026-09-19T16:34:48Z</dcterms:created>
  <dcterms:modified xsi:type="dcterms:W3CDTF">2026-09-22T12:02:56Z</dcterms:modified>
</cp:coreProperties>
</file>